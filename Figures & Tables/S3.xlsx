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e29fe4d01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hreshold Context" sheetId="1" r:id="R1d32d0bca0cc4dca"/>
    <x:sheet xmlns:r="http://schemas.openxmlformats.org/officeDocument/2006/relationships" name="Change Uncertainty" sheetId="2" r:id="R97476808ef91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71de55d3d46ae" /><Relationship Type="http://schemas.openxmlformats.org/officeDocument/2006/relationships/theme" Target="/xl/theme/theme1.xml" Id="R85cc077e8a604cdb" /><Relationship Type="http://schemas.openxmlformats.org/officeDocument/2006/relationships/sharedStrings" Target="/xl/sharedStrings.xml" Id="Rca883d12859a47f8" /><Relationship Type="http://schemas.openxmlformats.org/officeDocument/2006/relationships/worksheet" Target="/xl/worksheets/sheet1.xml" Id="R1d32d0bca0cc4dca" /><Relationship Type="http://schemas.openxmlformats.org/officeDocument/2006/relationships/worksheet" Target="/xl/worksheets/sheet2.xml" Id="R97476808ef9142dc" /></Relationships>
</file>

<file path=xl/tables/table1.xml><?xml version="1.0" encoding="utf-8"?>
<x:table xmlns:x="http://schemas.openxmlformats.org/spreadsheetml/2006/main" id="1" name="AnnualThresholdTable" displayName="AnnualThresholdTable" ref="A1:H8" headerRowCount="1">
  <x:tableColumns count="8">
    <x:tableColumn id="1" name="Coastal Zone"/>
    <x:tableColumn id="2" name="Year"/>
    <x:tableColumn id="3" name="Land Area at 0.00 (km²)"/>
    <x:tableColumn id="4" name="Primary Land Area at 0.05 (km²)"/>
    <x:tableColumn id="5" name="Land Area at 0.10 (km²)"/>
    <x:tableColumn id="6" name="Threshold Spread (km²)"/>
    <x:tableColumn id="7" name="Shift: 0.00 to 0.05 (km²)"/>
    <x:tableColumn id="8" name="Shift: 0.05 to 0.10 (km²)"/>
  </x:tableColumns>
  <x:tableStyleInfo name="TableStyleMedium2" showRowStripes="1"/>
</x:table>
</file>

<file path=xl/tables/table2.xml><?xml version="1.0" encoding="utf-8"?>
<x:table xmlns:x="http://schemas.openxmlformats.org/spreadsheetml/2006/main" id="2" name="ChangeUncertaintyTable" displayName="ChangeUncertaintyTable" ref="A1:L8" headerRowCount="1">
  <x:tableColumns count="12">
    <x:tableColumn id="1" name="Coastal Zone"/>
    <x:tableColumn id="2" name="Period"/>
    <x:tableColumn id="3" name="Primary Net Change at 0.05 (km²)"/>
    <x:tableColumn id="4" name="Net Change at 0.00 (km²)"/>
    <x:tableColumn id="5" name="Net Change at 0.10 (km²)"/>
    <x:tableColumn id="6" name="Sensitivity Range (km²)"/>
    <x:tableColumn id="7" name="Direction Stable?"/>
    <x:tableColumn id="8" name="Threshold-Sensitive Area (km²)"/>
    <x:tableColumn id="9" name="Approx. Threshold-Sensitive 10 m Pixels"/>
    <x:tableColumn id="10" name="Sensitive Primary Transition Area (km²)"/>
    <x:tableColumn id="11" name="Approx. Sensitive Transition 10 m Pixels"/>
    <x:tableColumn id="12" name="Sensitive Share of Primary Transition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899650d8fb44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1e606156a64a9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1" hidden="0" customWidth="1"/>
    <x:col min="4" max="4" width="24" hidden="0" customWidth="1"/>
    <x:col min="5" max="5" width="21" hidden="0" customWidth="1"/>
    <x:col min="6" max="6" width="20" hidden="0" customWidth="1"/>
    <x:col min="7" max="7" width="23" hidden="0" customWidth="1"/>
    <x:col min="8" max="8" width="23" hidden="0" customWidth="1"/>
  </x:cols>
  <x:sheetData>
    <x:row r="1" ht="36" customHeight="1">
      <x:c r="A1" s="12" t="str">
        <x:v>Coastal Zone</x:v>
      </x:c>
      <x:c r="B1" s="13" t="str">
        <x:v>Year</x:v>
      </x:c>
      <x:c r="C1" s="13" t="str">
        <x:v>Land Area at 0.00 (km²)</x:v>
      </x:c>
      <x:c r="D1" s="13" t="str">
        <x:v>Primary Land Area at 0.05 (km²)</x:v>
      </x:c>
      <x:c r="E1" s="13" t="str">
        <x:v>Land Area at 0.10 (km²)</x:v>
      </x:c>
      <x:c r="F1" s="13" t="str">
        <x:v>Threshold Spread (km²)</x:v>
      </x:c>
      <x:c r="G1" s="13" t="str">
        <x:v>Shift: 0.00 to 0.05 (km²)</x:v>
      </x:c>
      <x:c r="H1" s="14" t="str">
        <x:v>Shift: 0.05 to 0.10 (km²)</x:v>
      </x:c>
    </x:row>
    <x:row r="2">
      <x:c r="A2" s="30" t="str">
        <x:v>Central</x:v>
      </x:c>
      <x:c r="B2" s="31" t="n">
        <x:v>2019</x:v>
      </x:c>
      <x:c r="C2" s="81" t="n">
        <x:v>445.79124919536986</x:v>
      </x:c>
      <x:c r="D2" s="81" t="n">
        <x:v>447.0928443336701</x:v>
      </x:c>
      <x:c r="E2" s="81" t="n">
        <x:v>449.36634829213267</x:v>
      </x:c>
      <x:c r="F2" s="81" t="n">
        <x:f>E2-C2</x:f>
        <x:v>3.5750990967628127</x:v>
      </x:c>
      <x:c r="G2" s="81" t="n">
        <x:f>D2-C2</x:f>
        <x:v>1.3015951383002289</x:v>
      </x:c>
      <x:c r="H2" s="81" t="n">
        <x:f>E2-D2</x:f>
        <x:v>2.273503958462584</x:v>
      </x:c>
    </x:row>
    <x:row r="3">
      <x:c r="A3" s="30" t="str">
        <x:v>Central</x:v>
      </x:c>
      <x:c r="B3" s="31" t="n">
        <x:v>2020</x:v>
      </x:c>
      <x:c r="C3" s="81" t="n">
        <x:v>447.25007744579045</x:v>
      </x:c>
      <x:c r="D3" s="81" t="n">
        <x:v>448.9565375795852</x:v>
      </x:c>
      <x:c r="E3" s="81" t="n">
        <x:v>451.04348099778525</x:v>
      </x:c>
      <x:c r="F3" s="81" t="n">
        <x:f>E3-C3</x:f>
        <x:v>3.7934035519947997</x:v>
      </x:c>
      <x:c r="G3" s="81" t="n">
        <x:f>D3-C3</x:f>
        <x:v>1.7064601337947352</x:v>
      </x:c>
      <x:c r="H3" s="81" t="n">
        <x:f>E3-D3</x:f>
        <x:v>2.0869434182000646</x:v>
      </x:c>
    </x:row>
    <x:row r="4">
      <x:c r="A4" s="30" t="str">
        <x:v>Central</x:v>
      </x:c>
      <x:c r="B4" s="31" t="n">
        <x:v>2021</x:v>
      </x:c>
      <x:c r="C4" s="81" t="n">
        <x:v>445.43857484555684</x:v>
      </x:c>
      <x:c r="D4" s="81" t="n">
        <x:v>446.7864414442611</x:v>
      </x:c>
      <x:c r="E4" s="81" t="n">
        <x:v>448.46611750124765</x:v>
      </x:c>
      <x:c r="F4" s="81" t="n">
        <x:f>E4-C4</x:f>
        <x:v>3.0275426556908087</x:v>
      </x:c>
      <x:c r="G4" s="81" t="n">
        <x:f>D4-C4</x:f>
        <x:v>1.347866598704229</x:v>
      </x:c>
      <x:c r="H4" s="81" t="n">
        <x:f>E4-D4</x:f>
        <x:v>1.6796760569865796</x:v>
      </x:c>
    </x:row>
    <x:row r="5">
      <x:c r="A5" s="30" t="str">
        <x:v>Central</x:v>
      </x:c>
      <x:c r="B5" s="31" t="n">
        <x:v>2022</x:v>
      </x:c>
      <x:c r="C5" s="81" t="n">
        <x:v>445.57269670675305</x:v>
      </x:c>
      <x:c r="D5" s="81" t="n">
        <x:v>446.82759936503555</x:v>
      </x:c>
      <x:c r="E5" s="81" t="n">
        <x:v>448.30806553172374</x:v>
      </x:c>
      <x:c r="F5" s="81" t="n">
        <x:f>E5-C5</x:f>
        <x:v>2.735368824970692</x:v>
      </x:c>
      <x:c r="G5" s="81" t="n">
        <x:f>D5-C5</x:f>
        <x:v>1.2549026582825036</x:v>
      </x:c>
      <x:c r="H5" s="81" t="n">
        <x:f>E5-D5</x:f>
        <x:v>1.4804661666881884</x:v>
      </x:c>
    </x:row>
    <x:row r="6">
      <x:c r="A6" s="30" t="str">
        <x:v>Central</x:v>
      </x:c>
      <x:c r="B6" s="31" t="n">
        <x:v>2023</x:v>
      </x:c>
      <x:c r="C6" s="81" t="n">
        <x:v>445.9502396073286</x:v>
      </x:c>
      <x:c r="D6" s="81" t="n">
        <x:v>447.6863716758141</x:v>
      </x:c>
      <x:c r="E6" s="81" t="n">
        <x:v>449.8636194831032</x:v>
      </x:c>
      <x:c r="F6" s="81" t="n">
        <x:f>E6-C6</x:f>
        <x:v>3.913379875774581</x:v>
      </x:c>
      <x:c r="G6" s="81" t="n">
        <x:f>D6-C6</x:f>
        <x:v>1.7361320684854604</x:v>
      </x:c>
      <x:c r="H6" s="81" t="n">
        <x:f>E6-D6</x:f>
        <x:v>2.1772478072891204</x:v>
      </x:c>
    </x:row>
    <x:row r="7">
      <x:c r="A7" s="30" t="str">
        <x:v>Central</x:v>
      </x:c>
      <x:c r="B7" s="31" t="n">
        <x:v>2024</x:v>
      </x:c>
      <x:c r="C7" s="81" t="n">
        <x:v>448.40676468952125</x:v>
      </x:c>
      <x:c r="D7" s="81" t="n">
        <x:v>450.32869378103453</x:v>
      </x:c>
      <x:c r="E7" s="81" t="n">
        <x:v>452.6364321795847</x:v>
      </x:c>
      <x:c r="F7" s="81" t="n">
        <x:f>E7-C7</x:f>
        <x:v>4.229667490063434</x:v>
      </x:c>
      <x:c r="G7" s="81" t="n">
        <x:f>D7-C7</x:f>
        <x:v>1.9219290915132774</x:v>
      </x:c>
      <x:c r="H7" s="81" t="n">
        <x:f>E7-D7</x:f>
        <x:v>2.307738398550157</x:v>
      </x:c>
    </x:row>
    <x:row r="8">
      <x:c r="A8" s="33" t="str">
        <x:v>Central</x:v>
      </x:c>
      <x:c r="B8" s="34" t="n">
        <x:v>2025</x:v>
      </x:c>
      <x:c r="C8" s="81" t="n">
        <x:v>448.06277385010713</x:v>
      </x:c>
      <x:c r="D8" s="81" t="n">
        <x:v>450.09803578706754</x:v>
      </x:c>
      <x:c r="E8" s="81" t="n">
        <x:v>452.940352842457</x:v>
      </x:c>
      <x:c r="F8" s="81" t="n">
        <x:f>E8-C8</x:f>
        <x:v>4.877578992349868</x:v>
      </x:c>
      <x:c r="G8" s="81" t="n">
        <x:f>D8-C8</x:f>
        <x:v>2.03526193696041</x:v>
      </x:c>
      <x:c r="H8" s="81" t="n">
        <x:f>E8-D8</x:f>
        <x:v>2.842317055389458</x:v>
      </x:c>
    </x:row>
  </x:sheetData>
  <x:pageMargins left="0.7" right="0.7" top="0.75" bottom="0.75" header="0.3" footer="0.3"/>
  <x:tableParts count="1">
    <x:tablePart xmlns:r="http://schemas.openxmlformats.org/officeDocument/2006/relationships" r:id="R16899650d8fb44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1" hidden="0" customWidth="1"/>
    <x:col min="6" max="6" width="20" hidden="0" customWidth="1"/>
    <x:col min="7" max="7" width="17" hidden="0" customWidth="1"/>
    <x:col min="8" max="8" width="24" hidden="0" customWidth="1"/>
    <x:col min="9" max="9" width="27" hidden="0" customWidth="1"/>
    <x:col min="10" max="10" width="28" hidden="0" customWidth="1"/>
    <x:col min="11" max="11" width="27" hidden="0" customWidth="1"/>
    <x:col min="12" max="12" width="26" hidden="0" customWidth="1"/>
  </x:cols>
  <x:sheetData>
    <x:row r="1" ht="54" customHeight="1">
      <x:c r="A1" s="12" t="str">
        <x:v>Coastal Zone</x:v>
      </x:c>
      <x:c r="B1" s="13" t="str">
        <x:v>Period</x:v>
      </x:c>
      <x:c r="C1" s="13" t="str">
        <x:v>Primary Net Change at 0.05 (km²)</x:v>
      </x:c>
      <x:c r="D1" s="13" t="str">
        <x:v>Net Change at 0.00 (km²)</x:v>
      </x:c>
      <x:c r="E1" s="13" t="str">
        <x:v>Net Change at 0.10 (km²)</x:v>
      </x:c>
      <x:c r="F1" s="13" t="str">
        <x:v>Sensitivity Range (km²)</x:v>
      </x:c>
      <x:c r="G1" s="13" t="str">
        <x:v>Direction Stable?</x:v>
      </x:c>
      <x:c r="H1" s="13" t="str">
        <x:v>Threshold-Sensitive Area (km²)</x:v>
      </x:c>
      <x:c r="I1" s="13" t="str">
        <x:v>Approx. Threshold-Sensitive 10 m Pixels</x:v>
      </x:c>
      <x:c r="J1" s="13" t="str">
        <x:v>Sensitive Primary Transition Area (km²)</x:v>
      </x:c>
      <x:c r="K1" s="13" t="str">
        <x:v>Approx. Sensitive Transition 10 m Pixels</x:v>
      </x:c>
      <x:c r="L1" s="14" t="str">
        <x:v>Sensitive Share of Primary Transition (%)</x:v>
      </x:c>
    </x:row>
    <x:row r="2">
      <x:c r="A2" s="30" t="str">
        <x:v>Central</x:v>
      </x:c>
      <x:c r="B2" s="31" t="str">
        <x:v>2019–2020</x:v>
      </x:c>
      <x:c r="C2" s="81" t="n">
        <x:v>1.8576930301816899</x:v>
      </x:c>
      <x:c r="D2" s="81" t="n">
        <x:v>1.4531280351890017</x:v>
      </x:c>
      <x:c r="E2" s="81" t="n">
        <x:v>1.671032483293419</x:v>
      </x:c>
      <x:c r="F2" s="81" t="n">
        <x:f>MAX(C2:E2)-MIN(C2:E2)</x:f>
        <x:v>0.40456499499268816</x:v>
      </x:c>
      <x:c r="G2" s="42" t="str">
        <x:v>Yes</x:v>
      </x:c>
      <x:c r="H2" s="81" t="n">
        <x:v>6.66962154631434</x:v>
      </x:c>
      <x:c r="I2" s="83" t="n">
        <x:f>ROUND(H2*10000,0)</x:f>
        <x:v>66696</x:v>
      </x:c>
      <x:c r="J2" s="81" t="n">
        <x:v>2.60471212864079</x:v>
      </x:c>
      <x:c r="K2" s="83" t="n">
        <x:f>ROUND(J2*10000,0)</x:f>
        <x:v>26047</x:v>
      </x:c>
      <x:c r="L2" s="50" t="n">
        <x:v>44.644648663304814</x:v>
      </x:c>
    </x:row>
    <x:row r="3">
      <x:c r="A3" s="30" t="str">
        <x:v>Central</x:v>
      </x:c>
      <x:c r="B3" s="31" t="str">
        <x:v>2020–2021</x:v>
      </x:c>
      <x:c r="C3" s="81" t="n">
        <x:v>-2.164895891165076</x:v>
      </x:c>
      <x:c r="D3" s="81" t="n">
        <x:v>-1.8065023623197745</x:v>
      </x:c>
      <x:c r="E3" s="81" t="n">
        <x:v>-2.5721632523640796</x:v>
      </x:c>
      <x:c r="F3" s="81" t="n">
        <x:f>MAX(C3:E3)-MIN(C3:E3)</x:f>
        <x:v>0.7656608900443052</x:v>
      </x:c>
      <x:c r="G3" s="42" t="str">
        <x:v>Yes</x:v>
      </x:c>
      <x:c r="H3" s="81" t="n">
        <x:v>6.187838816484031</x:v>
      </x:c>
      <x:c r="I3" s="83" t="n">
        <x:f>ROUND(H3*10000,0)</x:f>
        <x:v>61878</x:v>
      </x:c>
      <x:c r="J3" s="81" t="n">
        <x:v>2.6124116299697313</x:v>
      </x:c>
      <x:c r="K3" s="83" t="n">
        <x:f>ROUND(J3*10000,0)</x:f>
        <x:v>26124</x:v>
      </x:c>
      <x:c r="L3" s="50" t="n">
        <x:v>44.81283199468251</x:v>
      </x:c>
    </x:row>
    <x:row r="4">
      <x:c r="A4" s="30" t="str">
        <x:v>Central</x:v>
      </x:c>
      <x:c r="B4" s="31" t="str">
        <x:v>2021–2022</x:v>
      </x:c>
      <x:c r="C4" s="81" t="n">
        <x:v>0.03615769487314857</x:v>
      </x:c>
      <x:c r="D4" s="81" t="n">
        <x:v>0.12952164726102988</x:v>
      </x:c>
      <x:c r="E4" s="81" t="n">
        <x:v>-0.16335220315927934</x:v>
      </x:c>
      <x:c r="F4" s="81" t="n">
        <x:f>MAX(C4:E4)-MIN(C4:E4)</x:f>
        <x:v>0.2928738504203092</x:v>
      </x:c>
      <x:c r="G4" s="42" t="str">
        <x:v>No</x:v>
      </x:c>
      <x:c r="H4" s="81" t="n">
        <x:v>5.107573286006877</x:v>
      </x:c>
      <x:c r="I4" s="83" t="n">
        <x:f>ROUND(H4*10000,0)</x:f>
        <x:v>51076</x:v>
      </x:c>
      <x:c r="J4" s="81" t="n">
        <x:v>2.106832322954456</x:v>
      </x:c>
      <x:c r="K4" s="83" t="n">
        <x:f>ROUND(J4*10000,0)</x:f>
        <x:v>21068</x:v>
      </x:c>
      <x:c r="L4" s="50" t="n">
        <x:v>57.156658114327804</x:v>
      </x:c>
    </x:row>
    <x:row r="5">
      <x:c r="A5" s="30" t="str">
        <x:v>Central</x:v>
      </x:c>
      <x:c r="B5" s="31" t="str">
        <x:v>2022–2023</x:v>
      </x:c>
      <x:c r="C5" s="81" t="n">
        <x:v>0.8587723108439638</x:v>
      </x:c>
      <x:c r="D5" s="81" t="n">
        <x:v>0.37754290058290696</x:v>
      </x:c>
      <x:c r="E5" s="81" t="n">
        <x:v>1.5555539514667147</x:v>
      </x:c>
      <x:c r="F5" s="81" t="n">
        <x:f>MAX(C5:E5)-MIN(C5:E5)</x:f>
        <x:v>1.1780110508838078</x:v>
      </x:c>
      <x:c r="G5" s="42" t="str">
        <x:v>Yes</x:v>
      </x:c>
      <x:c r="H5" s="81" t="n">
        <x:v>5.79562891248791</x:v>
      </x:c>
      <x:c r="I5" s="83" t="n">
        <x:f>ROUND(H5*10000,0)</x:f>
        <x:v>57956</x:v>
      </x:c>
      <x:c r="J5" s="81" t="n">
        <x:v>2.2526875000382836</x:v>
      </x:c>
      <x:c r="K5" s="83" t="n">
        <x:f>ROUND(J5*10000,0)</x:f>
        <x:v>22527</x:v>
      </x:c>
      <x:c r="L5" s="50" t="n">
        <x:v>64.76254163793674</x:v>
      </x:c>
    </x:row>
    <x:row r="6">
      <x:c r="A6" s="30" t="str">
        <x:v>Central</x:v>
      </x:c>
      <x:c r="B6" s="31" t="str">
        <x:v>2023–2024</x:v>
      </x:c>
      <x:c r="C6" s="81" t="n">
        <x:v>2.6423221051840478</x:v>
      </x:c>
      <x:c r="D6" s="81" t="n">
        <x:v>2.456525082207187</x:v>
      </x:c>
      <x:c r="E6" s="81" t="n">
        <x:v>2.772812696452442</x:v>
      </x:c>
      <x:c r="F6" s="81" t="n">
        <x:f>MAX(C6:E6)-MIN(C6:E6)</x:f>
        <x:v>0.3162876142452551</x:v>
      </x:c>
      <x:c r="G6" s="42" t="str">
        <x:v>Yes</x:v>
      </x:c>
      <x:c r="H6" s="81" t="n">
        <x:v>7.260539200534849</x:v>
      </x:c>
      <x:c r="I6" s="83" t="n">
        <x:f>ROUND(H6*10000,0)</x:f>
        <x:v>72605</x:v>
      </x:c>
      <x:c r="J6" s="81" t="n">
        <x:v>2.9707543720926366</x:v>
      </x:c>
      <x:c r="K6" s="83" t="n">
        <x:f>ROUND(J6*10000,0)</x:f>
        <x:v>29708</x:v>
      </x:c>
      <x:c r="L6" s="50" t="n">
        <x:v>50.58258357675265</x:v>
      </x:c>
    </x:row>
    <x:row r="7">
      <x:c r="A7" s="30" t="str">
        <x:v>Central</x:v>
      </x:c>
      <x:c r="B7" s="31" t="str">
        <x:v>2024–2025</x:v>
      </x:c>
      <x:c r="C7" s="81" t="n">
        <x:v>-0.23065799394518027</x:v>
      </x:c>
      <x:c r="D7" s="81" t="n">
        <x:v>-0.34399083939229125</x:v>
      </x:c>
      <x:c r="E7" s="81" t="n">
        <x:v>0.3039206628577542</x:v>
      </x:c>
      <x:c r="F7" s="81" t="n">
        <x:f>MAX(C7:E7)-MIN(C7:E7)</x:f>
        <x:v>0.6479115022500455</x:v>
      </x:c>
      <x:c r="G7" s="42" t="str">
        <x:v>No</x:v>
      </x:c>
      <x:c r="H7" s="81" t="n">
        <x:v>7.774096853892529</x:v>
      </x:c>
      <x:c r="I7" s="83" t="n">
        <x:f>ROUND(H7*10000,0)</x:f>
        <x:v>77741</x:v>
      </x:c>
      <x:c r="J7" s="81" t="n">
        <x:v>3.0128889916404193</x:v>
      </x:c>
      <x:c r="K7" s="83" t="n">
        <x:f>ROUND(J7*10000,0)</x:f>
        <x:v>30129</x:v>
      </x:c>
      <x:c r="L7" s="50" t="n">
        <x:v>62.4127975144146</x:v>
      </x:c>
    </x:row>
    <x:row r="8">
      <x:c r="A8" s="63" t="str">
        <x:v>Central</x:v>
      </x:c>
      <x:c r="B8" s="64" t="str">
        <x:v>2019–2025</x:v>
      </x:c>
      <x:c r="C8" s="82" t="n">
        <x:v>2.999291263578497</x:v>
      </x:c>
      <x:c r="D8" s="82" t="n">
        <x:v>2.265624464962029</x:v>
      </x:c>
      <x:c r="E8" s="82" t="n">
        <x:v>3.56790434731925</x:v>
      </x:c>
      <x:c r="F8" s="82" t="n">
        <x:f>MAX(C8:E8)-MIN(C8:E8)</x:f>
        <x:v>1.302279882357221</x:v>
      </x:c>
      <x:c r="G8" s="65" t="str">
        <x:v>Yes</x:v>
      </x:c>
      <x:c r="H8" s="82" t="n">
        <x:v>7.626224753671375</x:v>
      </x:c>
      <x:c r="I8" s="84" t="n">
        <x:f>ROUND(H8*10000,0)</x:f>
        <x:v>76262</x:v>
      </x:c>
      <x:c r="J8" s="82" t="n">
        <x:v>2.849410098417138</x:v>
      </x:c>
      <x:c r="K8" s="84" t="n">
        <x:f>ROUND(J8*10000,0)</x:f>
        <x:v>28494</x:v>
      </x:c>
      <x:c r="L8" s="67" t="n">
        <x:v>40.81665383349955</x:v>
      </x:c>
    </x:row>
  </x:sheetData>
  <x:conditionalFormatting sqref="G2:G8">
    <x:cfRule type="expression" dxfId="0" priority="1">
      <x:formula>G2="No"</x:formula>
    </x:cfRule>
    <x:cfRule type="expression" dxfId="1" priority="2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1e606156a64a90"/>
  </x:tableParts>
</x:worksheet>
</file>