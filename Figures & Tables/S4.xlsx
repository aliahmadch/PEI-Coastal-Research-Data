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0b267c0dc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hreshold Context" sheetId="1" r:id="Re2d04eff571d436c"/>
    <x:sheet xmlns:r="http://schemas.openxmlformats.org/officeDocument/2006/relationships" name="Change Uncertainty" sheetId="2" r:id="R2a92e026ccfc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1b8cea02f4e6b" /><Relationship Type="http://schemas.openxmlformats.org/officeDocument/2006/relationships/theme" Target="/xl/theme/theme1.xml" Id="R83f4eddacdf54c21" /><Relationship Type="http://schemas.openxmlformats.org/officeDocument/2006/relationships/sharedStrings" Target="/xl/sharedStrings.xml" Id="R29d994d3514743b1" /><Relationship Type="http://schemas.openxmlformats.org/officeDocument/2006/relationships/worksheet" Target="/xl/worksheets/sheet1.xml" Id="Re2d04eff571d436c" /><Relationship Type="http://schemas.openxmlformats.org/officeDocument/2006/relationships/worksheet" Target="/xl/worksheets/sheet2.xml" Id="R2a92e026ccfc47d2" /></Relationships>
</file>

<file path=xl/tables/table1.xml><?xml version="1.0" encoding="utf-8"?>
<x:table xmlns:x="http://schemas.openxmlformats.org/spreadsheetml/2006/main" id="1" name="AnnualThresholdTable" displayName="AnnualThresholdTable" ref="A1:H8" headerRowCount="1">
  <x:tableColumns count="8">
    <x:tableColumn id="1" name="Coastal Zone"/>
    <x:tableColumn id="2" name="Year"/>
    <x:tableColumn id="3" name="Land Area at 0.00 (km²)"/>
    <x:tableColumn id="4" name="Primary Land Area at 0.05 (km²)"/>
    <x:tableColumn id="5" name="Land Area at 0.10 (km²)"/>
    <x:tableColumn id="6" name="Threshold Spread (km²)"/>
    <x:tableColumn id="7" name="Shift: 0.00 to 0.05 (km²)"/>
    <x:tableColumn id="8" name="Shift: 0.05 to 0.10 (km²)"/>
  </x:tableColumns>
  <x:tableStyleInfo name="TableStyleMedium2" showRowStripes="1"/>
</x:table>
</file>

<file path=xl/tables/table2.xml><?xml version="1.0" encoding="utf-8"?>
<x:table xmlns:x="http://schemas.openxmlformats.org/spreadsheetml/2006/main" id="2" name="ChangeUncertaintyTable" displayName="ChangeUncertaintyTable" ref="A1:L8" headerRowCount="1">
  <x:tableColumns count="12">
    <x:tableColumn id="1" name="Coastal Zone"/>
    <x:tableColumn id="2" name="Period"/>
    <x:tableColumn id="3" name="Primary Net Change at 0.05 (km²)"/>
    <x:tableColumn id="4" name="Net Change at 0.00 (km²)"/>
    <x:tableColumn id="5" name="Net Change at 0.10 (km²)"/>
    <x:tableColumn id="6" name="Sensitivity Range (km²)"/>
    <x:tableColumn id="7" name="Direction Stable?"/>
    <x:tableColumn id="8" name="Threshold-Sensitive Area (km²)"/>
    <x:tableColumn id="9" name="Approx. Threshold-Sensitive 10 m Pixels"/>
    <x:tableColumn id="10" name="Sensitive Primary Transition Area (km²)"/>
    <x:tableColumn id="11" name="Approx. Sensitive Transition 10 m Pixels"/>
    <x:tableColumn id="12" name="Sensitive Share of Primary Transition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93cbc7d0c749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83abc058f84c5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1" hidden="0" customWidth="1"/>
    <x:col min="4" max="4" width="24" hidden="0" customWidth="1"/>
    <x:col min="5" max="5" width="21" hidden="0" customWidth="1"/>
    <x:col min="6" max="6" width="20" hidden="0" customWidth="1"/>
    <x:col min="7" max="7" width="23" hidden="0" customWidth="1"/>
    <x:col min="8" max="8" width="23" hidden="0" customWidth="1"/>
  </x:cols>
  <x:sheetData>
    <x:row r="1" ht="36" customHeight="1">
      <x:c r="A1" s="12" t="str">
        <x:v>Coastal Zone</x:v>
      </x:c>
      <x:c r="B1" s="13" t="str">
        <x:v>Year</x:v>
      </x:c>
      <x:c r="C1" s="13" t="str">
        <x:v>Land Area at 0.00 (km²)</x:v>
      </x:c>
      <x:c r="D1" s="13" t="str">
        <x:v>Primary Land Area at 0.05 (km²)</x:v>
      </x:c>
      <x:c r="E1" s="13" t="str">
        <x:v>Land Area at 0.10 (km²)</x:v>
      </x:c>
      <x:c r="F1" s="13" t="str">
        <x:v>Threshold Spread (km²)</x:v>
      </x:c>
      <x:c r="G1" s="13" t="str">
        <x:v>Shift: 0.00 to 0.05 (km²)</x:v>
      </x:c>
      <x:c r="H1" s="14" t="str">
        <x:v>Shift: 0.05 to 0.10 (km²)</x:v>
      </x:c>
    </x:row>
    <x:row r="2">
      <x:c r="A2" s="30" t="str">
        <x:v>Eastern</x:v>
      </x:c>
      <x:c r="B2" s="31" t="n">
        <x:v>2019</x:v>
      </x:c>
      <x:c r="C2" s="42" t="n">
        <x:v>512.5410891326385</x:v>
      </x:c>
      <x:c r="D2" s="42" t="n">
        <x:v>513.9918450106895</x:v>
      </x:c>
      <x:c r="E2" s="42" t="n">
        <x:v>515.9268198086451</x:v>
      </x:c>
      <x:c r="F2" s="42" t="n">
        <x:f>E2-C2</x:f>
        <x:v>3.385730676006574</x:v>
      </x:c>
      <x:c r="G2" s="42" t="n">
        <x:f>D2-C2</x:f>
        <x:v>1.4507558780510408</x:v>
      </x:c>
      <x:c r="H2" s="43" t="n">
        <x:f>E2-D2</x:f>
        <x:v>1.9349747979555332</x:v>
      </x:c>
    </x:row>
    <x:row r="3">
      <x:c r="A3" s="30" t="str">
        <x:v>Eastern</x:v>
      </x:c>
      <x:c r="B3" s="31" t="n">
        <x:v>2020</x:v>
      </x:c>
      <x:c r="C3" s="42" t="n">
        <x:v>515.2704187132277</x:v>
      </x:c>
      <x:c r="D3" s="42" t="n">
        <x:v>516.6120244493134</x:v>
      </x:c>
      <x:c r="E3" s="42" t="n">
        <x:v>518.1779807336991</x:v>
      </x:c>
      <x:c r="F3" s="42" t="n">
        <x:f>E3-C3</x:f>
        <x:v>2.907562020471346</x:v>
      </x:c>
      <x:c r="G3" s="42" t="n">
        <x:f>D3-C3</x:f>
        <x:v>1.3416057360856257</x:v>
      </x:c>
      <x:c r="H3" s="43" t="n">
        <x:f>E3-D3</x:f>
        <x:v>1.5659562843857202</x:v>
      </x:c>
    </x:row>
    <x:row r="4">
      <x:c r="A4" s="30" t="str">
        <x:v>Eastern</x:v>
      </x:c>
      <x:c r="B4" s="31" t="n">
        <x:v>2021</x:v>
      </x:c>
      <x:c r="C4" s="42" t="n">
        <x:v>512.7850998978579</x:v>
      </x:c>
      <x:c r="D4" s="42" t="n">
        <x:v>514.0563023708877</x:v>
      </x:c>
      <x:c r="E4" s="42" t="n">
        <x:v>515.463081972394</x:v>
      </x:c>
      <x:c r="F4" s="42" t="n">
        <x:f>E4-C4</x:f>
        <x:v>2.6779820745360894</x:v>
      </x:c>
      <x:c r="G4" s="42" t="n">
        <x:f>D4-C4</x:f>
        <x:v>1.2712024730298026</x:v>
      </x:c>
      <x:c r="H4" s="43" t="n">
        <x:f>E4-D4</x:f>
        <x:v>1.4067796015062868</x:v>
      </x:c>
    </x:row>
    <x:row r="5">
      <x:c r="A5" s="30" t="str">
        <x:v>Eastern</x:v>
      </x:c>
      <x:c r="B5" s="31" t="n">
        <x:v>2022</x:v>
      </x:c>
      <x:c r="C5" s="42" t="n">
        <x:v>513.5346517966696</x:v>
      </x:c>
      <x:c r="D5" s="42" t="n">
        <x:v>515.0741164810263</x:v>
      </x:c>
      <x:c r="E5" s="42" t="n">
        <x:v>516.7980535892458</x:v>
      </x:c>
      <x:c r="F5" s="42" t="n">
        <x:f>E5-C5</x:f>
        <x:v>3.2634017925762464</x:v>
      </x:c>
      <x:c r="G5" s="42" t="n">
        <x:f>D5-C5</x:f>
        <x:v>1.5394646843567443</x:v>
      </x:c>
      <x:c r="H5" s="43" t="n">
        <x:f>E5-D5</x:f>
        <x:v>1.723937108219502</x:v>
      </x:c>
    </x:row>
    <x:row r="6">
      <x:c r="A6" s="30" t="str">
        <x:v>Eastern</x:v>
      </x:c>
      <x:c r="B6" s="31" t="n">
        <x:v>2023</x:v>
      </x:c>
      <x:c r="C6" s="42" t="n">
        <x:v>513.3130930487062</x:v>
      </x:c>
      <x:c r="D6" s="42" t="n">
        <x:v>515.0989181037654</x:v>
      </x:c>
      <x:c r="E6" s="42" t="n">
        <x:v>517.1175655954788</x:v>
      </x:c>
      <x:c r="F6" s="42" t="n">
        <x:f>E6-C6</x:f>
        <x:v>3.804472546772672</x:v>
      </x:c>
      <x:c r="G6" s="42" t="n">
        <x:f>D6-C6</x:f>
        <x:v>1.785825055059263</x:v>
      </x:c>
      <x:c r="H6" s="43" t="n">
        <x:f>E6-D6</x:f>
        <x:v>2.018647491713409</x:v>
      </x:c>
    </x:row>
    <x:row r="7">
      <x:c r="A7" s="30" t="str">
        <x:v>Eastern</x:v>
      </x:c>
      <x:c r="B7" s="31" t="n">
        <x:v>2024</x:v>
      </x:c>
      <x:c r="C7" s="42" t="n">
        <x:v>515.6059647239113</x:v>
      </x:c>
      <x:c r="D7" s="42" t="n">
        <x:v>517.1832673998673</x:v>
      </x:c>
      <x:c r="E7" s="42" t="n">
        <x:v>518.9853443802011</x:v>
      </x:c>
      <x:c r="F7" s="42" t="n">
        <x:f>E7-C7</x:f>
        <x:v>3.3793796562898706</x:v>
      </x:c>
      <x:c r="G7" s="42" t="n">
        <x:f>D7-C7</x:f>
        <x:v>1.577302675956048</x:v>
      </x:c>
      <x:c r="H7" s="43" t="n">
        <x:f>E7-D7</x:f>
        <x:v>1.8020769803338226</x:v>
      </x:c>
    </x:row>
    <x:row r="8">
      <x:c r="A8" s="33" t="str">
        <x:v>Eastern</x:v>
      </x:c>
      <x:c r="B8" s="34" t="n">
        <x:v>2025</x:v>
      </x:c>
      <x:c r="C8" s="44" t="n">
        <x:v>515.1981894961041</x:v>
      </x:c>
      <x:c r="D8" s="44" t="n">
        <x:v>516.7927401247681</x:v>
      </x:c>
      <x:c r="E8" s="44" t="n">
        <x:v>518.7150463606672</x:v>
      </x:c>
      <x:c r="F8" s="44" t="n">
        <x:f>E8-C8</x:f>
        <x:v>3.516856864563124</x:v>
      </x:c>
      <x:c r="G8" s="44" t="n">
        <x:f>D8-C8</x:f>
        <x:v>1.5945506286640239</x:v>
      </x:c>
      <x:c r="H8" s="45" t="n">
        <x:f>E8-D8</x:f>
        <x:v>1.9223062358991</x:v>
      </x:c>
    </x:row>
  </x:sheetData>
  <x:pageMargins left="0.7" right="0.7" top="0.75" bottom="0.75" header="0.3" footer="0.3"/>
  <x:tableParts count="1">
    <x:tablePart xmlns:r="http://schemas.openxmlformats.org/officeDocument/2006/relationships" r:id="Reb93cbc7d0c749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1" hidden="0" customWidth="1"/>
    <x:col min="6" max="6" width="20" hidden="0" customWidth="1"/>
    <x:col min="7" max="7" width="17" hidden="0" customWidth="1"/>
    <x:col min="8" max="8" width="24" hidden="0" customWidth="1"/>
    <x:col min="9" max="9" width="27" hidden="0" customWidth="1"/>
    <x:col min="10" max="10" width="28" hidden="0" customWidth="1"/>
    <x:col min="11" max="11" width="27" hidden="0" customWidth="1"/>
    <x:col min="12" max="12" width="26" hidden="0" customWidth="1"/>
  </x:cols>
  <x:sheetData>
    <x:row r="1" ht="54" customHeight="1">
      <x:c r="A1" s="12" t="str">
        <x:v>Coastal Zone</x:v>
      </x:c>
      <x:c r="B1" s="13" t="str">
        <x:v>Period</x:v>
      </x:c>
      <x:c r="C1" s="13" t="str">
        <x:v>Primary Net Change at 0.05 (km²)</x:v>
      </x:c>
      <x:c r="D1" s="13" t="str">
        <x:v>Net Change at 0.00 (km²)</x:v>
      </x:c>
      <x:c r="E1" s="13" t="str">
        <x:v>Net Change at 0.10 (km²)</x:v>
      </x:c>
      <x:c r="F1" s="13" t="str">
        <x:v>Sensitivity Range (km²)</x:v>
      </x:c>
      <x:c r="G1" s="13" t="str">
        <x:v>Direction Stable?</x:v>
      </x:c>
      <x:c r="H1" s="13" t="str">
        <x:v>Threshold-Sensitive Area (km²)</x:v>
      </x:c>
      <x:c r="I1" s="13" t="str">
        <x:v>Approx. Threshold-Sensitive 10 m Pixels</x:v>
      </x:c>
      <x:c r="J1" s="13" t="str">
        <x:v>Sensitive Primary Transition Area (km²)</x:v>
      </x:c>
      <x:c r="K1" s="13" t="str">
        <x:v>Approx. Sensitive Transition 10 m Pixels</x:v>
      </x:c>
      <x:c r="L1" s="14" t="str">
        <x:v>Sensitive Share of Primary Transition (%)</x:v>
      </x:c>
    </x:row>
    <x:row r="2">
      <x:c r="A2" s="30" t="str">
        <x:v>Eastern</x:v>
      </x:c>
      <x:c r="B2" s="31" t="str">
        <x:v>2019–2020</x:v>
      </x:c>
      <x:c r="C2" s="42" t="n">
        <x:v>2.6201794386021593</x:v>
      </x:c>
      <x:c r="D2" s="42" t="n">
        <x:v>2.7293295805600146</x:v>
      </x:c>
      <x:c r="E2" s="42" t="n">
        <x:v>2.251160924995857</x:v>
      </x:c>
      <x:c r="F2" s="42" t="n">
        <x:v>0.4781686555641578</x:v>
      </x:c>
      <x:c r="G2" s="42" t="str">
        <x:v>Yes</x:v>
      </x:c>
      <x:c r="H2" s="42" t="n">
        <x:v>5.682782034014549</x:v>
      </x:c>
      <x:c r="I2" s="54" t="n">
        <x:f>ROUND(H2*10000,0)</x:f>
        <x:v>56828</x:v>
      </x:c>
      <x:c r="J2" s="42" t="n">
        <x:v>2.3902647158939065</x:v>
      </x:c>
      <x:c r="K2" s="54" t="n">
        <x:f>ROUND(J2*10000,0)</x:f>
        <x:v>23903</x:v>
      </x:c>
      <x:c r="L2" s="50" t="n">
        <x:v>44.644648663304814</x:v>
      </x:c>
    </x:row>
    <x:row r="3">
      <x:c r="A3" s="30" t="str">
        <x:v>Eastern</x:v>
      </x:c>
      <x:c r="B3" s="31" t="str">
        <x:v>2020–2021</x:v>
      </x:c>
      <x:c r="C3" s="42" t="n">
        <x:v>-2.5557220784257337</x:v>
      </x:c>
      <x:c r="D3" s="42" t="n">
        <x:v>-2.4853188153624517</x:v>
      </x:c>
      <x:c r="E3" s="42" t="n">
        <x:v>-2.7148987612469613</x:v>
      </x:c>
      <x:c r="F3" s="42" t="n">
        <x:v>0.22957994588450958</x:v>
      </x:c>
      <x:c r="G3" s="42" t="str">
        <x:v>Yes</x:v>
      </x:c>
      <x:c r="H3" s="42" t="n">
        <x:v>5.01563692430634</x:v>
      </x:c>
      <x:c r="I3" s="54" t="n">
        <x:f>ROUND(H3*10000,0)</x:f>
        <x:v>50156</x:v>
      </x:c>
      <x:c r="J3" s="42" t="n">
        <x:v>2.1697503918850645</x:v>
      </x:c>
      <x:c r="K3" s="54" t="n">
        <x:f>ROUND(J3*10000,0)</x:f>
        <x:v>21698</x:v>
      </x:c>
      <x:c r="L3" s="50" t="n">
        <x:v>44.81283199468251</x:v>
      </x:c>
    </x:row>
    <x:row r="4">
      <x:c r="A4" s="30" t="str">
        <x:v>Eastern</x:v>
      </x:c>
      <x:c r="B4" s="31" t="str">
        <x:v>2021–2022</x:v>
      </x:c>
      <x:c r="C4" s="42" t="n">
        <x:v>1.0178141101240918</x:v>
      </x:c>
      <x:c r="D4" s="42" t="n">
        <x:v>0.749551898811678</x:v>
      </x:c>
      <x:c r="E4" s="42" t="n">
        <x:v>1.3349716168155494</x:v>
      </x:c>
      <x:c r="F4" s="42" t="n">
        <x:v>0.5854197180038714</x:v>
      </x:c>
      <x:c r="G4" s="42" t="str">
        <x:v>Yes</x:v>
      </x:c>
      <x:c r="H4" s="42" t="n">
        <x:v>5.133654550223254</x:v>
      </x:c>
      <x:c r="I4" s="54" t="n">
        <x:f>ROUND(H4*10000,0)</x:f>
        <x:v>51337</x:v>
      </x:c>
      <x:c r="J4" s="42" t="n">
        <x:v>2.102588899505773</x:v>
      </x:c>
      <x:c r="K4" s="54" t="n">
        <x:f>ROUND(J4*10000,0)</x:f>
        <x:v>21026</x:v>
      </x:c>
      <x:c r="L4" s="50" t="n">
        <x:v>57.156658114327804</x:v>
      </x:c>
    </x:row>
    <x:row r="5">
      <x:c r="A5" s="30" t="str">
        <x:v>Eastern</x:v>
      </x:c>
      <x:c r="B5" s="31" t="str">
        <x:v>2022–2023</x:v>
      </x:c>
      <x:c r="C5" s="42" t="n">
        <x:v>0.024801622739109908</x:v>
      </x:c>
      <x:c r="D5" s="42" t="n">
        <x:v>-0.22155874798521724</x:v>
      </x:c>
      <x:c r="E5" s="42" t="n">
        <x:v>0.3195120062112673</x:v>
      </x:c>
      <x:c r="F5" s="42" t="n">
        <x:v>0.5410707541964845</x:v>
      </x:c>
      <x:c r="G5" s="42" t="str">
        <x:v>No</x:v>
      </x:c>
      <x:c r="H5" s="42" t="n">
        <x:v>5.950509454982725</x:v>
      </x:c>
      <x:c r="I5" s="54" t="n">
        <x:f>ROUND(H5*10000,0)</x:f>
        <x:v>59505</x:v>
      </x:c>
      <x:c r="J5" s="42" t="n">
        <x:v>2.3085020656428386</x:v>
      </x:c>
      <x:c r="K5" s="54" t="n">
        <x:f>ROUND(J5*10000,0)</x:f>
        <x:v>23085</x:v>
      </x:c>
      <x:c r="L5" s="50" t="n">
        <x:v>64.76254163793674</x:v>
      </x:c>
    </x:row>
    <x:row r="6">
      <x:c r="A6" s="30" t="str">
        <x:v>Eastern</x:v>
      </x:c>
      <x:c r="B6" s="31" t="str">
        <x:v>2023–2024</x:v>
      </x:c>
      <x:c r="C6" s="42" t="n">
        <x:v>2.0846492715378506</x:v>
      </x:c>
      <x:c r="D6" s="42" t="n">
        <x:v>2.2929716670243687</x:v>
      </x:c>
      <x:c r="E6" s="42" t="n">
        <x:v>1.86817875197745</x:v>
      </x:c>
      <x:c r="F6" s="42" t="n">
        <x:v>0.42479291504691874</x:v>
      </x:c>
      <x:c r="G6" s="42" t="str">
        <x:v>Yes</x:v>
      </x:c>
      <x:c r="H6" s="42" t="n">
        <x:v>6.4044811394243375</x:v>
      </x:c>
      <x:c r="I6" s="54" t="n">
        <x:f>ROUND(H6*10000,0)</x:f>
        <x:v>64045</x:v>
      </x:c>
      <x:c r="J6" s="42" t="n">
        <x:v>2.700750755225382</x:v>
      </x:c>
      <x:c r="K6" s="54" t="n">
        <x:f>ROUND(J6*10000,0)</x:f>
        <x:v>27008</x:v>
      </x:c>
      <x:c r="L6" s="50" t="n">
        <x:v>50.58258357675265</x:v>
      </x:c>
    </x:row>
    <x:row r="7">
      <x:c r="A7" s="30" t="str">
        <x:v>Eastern</x:v>
      </x:c>
      <x:c r="B7" s="31" t="str">
        <x:v>2024–2025</x:v>
      </x:c>
      <x:c r="C7" s="42" t="n">
        <x:v>-0.39052727515001795</x:v>
      </x:c>
      <x:c r="D7" s="42" t="n">
        <x:v>-0.4077752278289388</x:v>
      </x:c>
      <x:c r="E7" s="42" t="n">
        <x:v>-0.27029801957019917</x:v>
      </x:c>
      <x:c r="F7" s="42" t="n">
        <x:v>0.13747720825873966</x:v>
      </x:c>
      <x:c r="G7" s="42" t="str">
        <x:v>Yes</x:v>
      </x:c>
      <x:c r="H7" s="42" t="n">
        <x:v>5.8185497941266675</x:v>
      </x:c>
      <x:c r="I7" s="54" t="n">
        <x:f>ROUND(H7*10000,0)</x:f>
        <x:v>58185</x:v>
      </x:c>
      <x:c r="J7" s="42" t="n">
        <x:v>2.3238982361885174</x:v>
      </x:c>
      <x:c r="K7" s="54" t="n">
        <x:f>ROUND(J7*10000,0)</x:f>
        <x:v>23239</x:v>
      </x:c>
      <x:c r="L7" s="50" t="n">
        <x:v>62.4127975144146</x:v>
      </x:c>
    </x:row>
    <x:row r="8">
      <x:c r="A8" s="63" t="str">
        <x:v>Eastern</x:v>
      </x:c>
      <x:c r="B8" s="64" t="str">
        <x:v>2019–2025</x:v>
      </x:c>
      <x:c r="C8" s="65" t="n">
        <x:v>2.8008951140059484</x:v>
      </x:c>
      <x:c r="D8" s="65" t="n">
        <x:v>2.6571003634147066</x:v>
      </x:c>
      <x:c r="E8" s="65" t="n">
        <x:v>2.788226551956705</x:v>
      </x:c>
      <x:c r="F8" s="65" t="n">
        <x:v>0.1437947505912418</x:v>
      </x:c>
      <x:c r="G8" s="65" t="str">
        <x:v>Yes</x:v>
      </x:c>
      <x:c r="H8" s="65" t="n">
        <x:v>6.126648686784799</x:v>
      </x:c>
      <x:c r="I8" s="66" t="n">
        <x:f>ROUND(H8*10000,0)</x:f>
        <x:v>61266</x:v>
      </x:c>
      <x:c r="J8" s="65" t="n">
        <x:v>2.4846307571529125</x:v>
      </x:c>
      <x:c r="K8" s="66" t="n">
        <x:f>ROUND(J8*10000,0)</x:f>
        <x:v>24846</x:v>
      </x:c>
      <x:c r="L8" s="67" t="n">
        <x:v>40.81665383349955</x:v>
      </x:c>
    </x:row>
  </x:sheetData>
  <x:conditionalFormatting sqref="G2:G8">
    <x:cfRule type="expression" dxfId="0" priority="1">
      <x:formula>G2="No"</x:formula>
    </x:cfRule>
    <x:cfRule type="expression" dxfId="1" priority="2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83abc058f84c54"/>
  </x:tableParts>
</x:worksheet>
</file>