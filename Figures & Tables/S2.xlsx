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6f47c9de2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Threshold Context" sheetId="1" r:id="R08fd3df0447541b9"/>
    <x:sheet xmlns:r="http://schemas.openxmlformats.org/officeDocument/2006/relationships" name="Change Uncertainty" sheetId="2" r:id="R64eecdce3fc2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2" fontId="0" fillId="3" borderId="9" xfId="0" applyNumberFormat="1" applyFont="1" applyFill="1" applyBorder="1" applyAlignment="1">
      <x:alignment vertical="center"/>
    </x:xf>
    <x:xf numFmtId="201" fontId="0" fillId="3" borderId="10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201" fontId="2" fillId="3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623b6d660417b" /><Relationship Type="http://schemas.openxmlformats.org/officeDocument/2006/relationships/theme" Target="/xl/theme/theme1.xml" Id="R69faca28046e4469" /><Relationship Type="http://schemas.openxmlformats.org/officeDocument/2006/relationships/sharedStrings" Target="/xl/sharedStrings.xml" Id="Rc6bb7300f1944569" /><Relationship Type="http://schemas.openxmlformats.org/officeDocument/2006/relationships/worksheet" Target="/xl/worksheets/sheet1.xml" Id="R08fd3df0447541b9" /><Relationship Type="http://schemas.openxmlformats.org/officeDocument/2006/relationships/worksheet" Target="/xl/worksheets/sheet2.xml" Id="R64eecdce3fc24dcc" /></Relationships>
</file>

<file path=xl/tables/table1.xml><?xml version="1.0" encoding="utf-8"?>
<x:table xmlns:x="http://schemas.openxmlformats.org/spreadsheetml/2006/main" id="1" name="AnnualThresholdTable" displayName="AnnualThresholdTable" ref="A1:H8" headerRowCount="1">
  <x:tableColumns count="8">
    <x:tableColumn id="1" name="Coastal Zone"/>
    <x:tableColumn id="2" name="Year"/>
    <x:tableColumn id="3" name="Land Area at 0.00 (km²)"/>
    <x:tableColumn id="4" name="Primary Land Area at 0.05 (km²)"/>
    <x:tableColumn id="5" name="Land Area at 0.10 (km²)"/>
    <x:tableColumn id="6" name="Threshold Spread (km²)"/>
    <x:tableColumn id="7" name="Shift: 0.00 to 0.05 (km²)"/>
    <x:tableColumn id="8" name="Shift: 0.05 to 0.10 (km²)"/>
  </x:tableColumns>
  <x:tableStyleInfo name="TableStyleMedium2" showRowStripes="1"/>
</x:table>
</file>

<file path=xl/tables/table2.xml><?xml version="1.0" encoding="utf-8"?>
<x:table xmlns:x="http://schemas.openxmlformats.org/spreadsheetml/2006/main" id="2" name="ChangeUncertaintyTable" displayName="ChangeUncertaintyTable" ref="A1:L8" headerRowCount="1">
  <x:tableColumns count="12">
    <x:tableColumn id="1" name="Coastal Zone"/>
    <x:tableColumn id="2" name="Period"/>
    <x:tableColumn id="3" name="Primary Net Change at 0.05 (km²)"/>
    <x:tableColumn id="4" name="Net Change at 0.00 (km²)"/>
    <x:tableColumn id="5" name="Net Change at 0.10 (km²)"/>
    <x:tableColumn id="6" name="Sensitivity Range (km²)"/>
    <x:tableColumn id="7" name="Direction Stable?"/>
    <x:tableColumn id="8" name="Threshold-Sensitive Area (km²)"/>
    <x:tableColumn id="9" name="Approx. Threshold-Sensitive 10 m Pixels"/>
    <x:tableColumn id="10" name="Sensitive Primary Transition Area (km²)"/>
    <x:tableColumn id="11" name="Approx. Sensitive Transition 10 m Pixels"/>
    <x:tableColumn id="12" name="Sensitive Share of Primary Transition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53fcb8fab84a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645547033e4c9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1" hidden="0" customWidth="1"/>
    <x:col min="4" max="4" width="24" hidden="0" customWidth="1"/>
    <x:col min="5" max="5" width="21" hidden="0" customWidth="1"/>
    <x:col min="6" max="6" width="20" hidden="0" customWidth="1"/>
    <x:col min="7" max="7" width="23" hidden="0" customWidth="1"/>
    <x:col min="8" max="8" width="23" hidden="0" customWidth="1"/>
  </x:cols>
  <x:sheetData>
    <x:row r="1" ht="36" customHeight="1">
      <x:c r="A1" s="12" t="str">
        <x:v>Coastal Zone</x:v>
      </x:c>
      <x:c r="B1" s="13" t="str">
        <x:v>Year</x:v>
      </x:c>
      <x:c r="C1" s="13" t="str">
        <x:v>Land Area at 0.00 (km²)</x:v>
      </x:c>
      <x:c r="D1" s="13" t="str">
        <x:v>Primary Land Area at 0.05 (km²)</x:v>
      </x:c>
      <x:c r="E1" s="13" t="str">
        <x:v>Land Area at 0.10 (km²)</x:v>
      </x:c>
      <x:c r="F1" s="13" t="str">
        <x:v>Threshold Spread (km²)</x:v>
      </x:c>
      <x:c r="G1" s="13" t="str">
        <x:v>Shift: 0.00 to 0.05 (km²)</x:v>
      </x:c>
      <x:c r="H1" s="14" t="str">
        <x:v>Shift: 0.05 to 0.10 (km²)</x:v>
      </x:c>
    </x:row>
    <x:row r="2">
      <x:c r="A2" s="30" t="str">
        <x:v>Western</x:v>
      </x:c>
      <x:c r="B2" s="31" t="n">
        <x:v>2019</x:v>
      </x:c>
      <x:c r="C2" s="81" t="n">
        <x:v>455.7473525387403</x:v>
      </x:c>
      <x:c r="D2" s="81" t="n">
        <x:v>457.4319985594194</x:v>
      </x:c>
      <x:c r="E2" s="81" t="n">
        <x:v>459.6265761579674</x:v>
      </x:c>
      <x:c r="F2" s="81" t="n">
        <x:f>E2-C2</x:f>
        <x:v>3.879223619227105</x:v>
      </x:c>
      <x:c r="G2" s="81" t="n">
        <x:f>D2-C2</x:f>
        <x:v>1.6846460206791107</x:v>
      </x:c>
      <x:c r="H2" s="81" t="n">
        <x:f>E2-D2</x:f>
        <x:v>2.194577598547994</x:v>
      </x:c>
    </x:row>
    <x:row r="3">
      <x:c r="A3" s="30" t="str">
        <x:v>Western</x:v>
      </x:c>
      <x:c r="B3" s="31" t="n">
        <x:v>2020</x:v>
      </x:c>
      <x:c r="C3" s="81" t="n">
        <x:v>456.0999816162435</x:v>
      </x:c>
      <x:c r="D3" s="81" t="n">
        <x:v>457.7419563272876</x:v>
      </x:c>
      <x:c r="E3" s="81" t="n">
        <x:v>459.7459995539011</x:v>
      </x:c>
      <x:c r="F3" s="81" t="n">
        <x:f>E3-C3</x:f>
        <x:v>3.646017937657575</x:v>
      </x:c>
      <x:c r="G3" s="81" t="n">
        <x:f>D3-C3</x:f>
        <x:v>1.6419747110440994</x:v>
      </x:c>
      <x:c r="H3" s="81" t="n">
        <x:f>E3-D3</x:f>
        <x:v>2.004043226613476</x:v>
      </x:c>
    </x:row>
    <x:row r="4">
      <x:c r="A4" s="30" t="str">
        <x:v>Western</x:v>
      </x:c>
      <x:c r="B4" s="31" t="n">
        <x:v>2021</x:v>
      </x:c>
      <x:c r="C4" s="81" t="n">
        <x:v>454.23893357433684</x:v>
      </x:c>
      <x:c r="D4" s="81" t="n">
        <x:v>455.9393528643709</x:v>
      </x:c>
      <x:c r="E4" s="81" t="n">
        <x:v>458.00581734553134</x:v>
      </x:c>
      <x:c r="F4" s="81" t="n">
        <x:f>E4-C4</x:f>
        <x:v>3.7668837711945002</x:v>
      </x:c>
      <x:c r="G4" s="81" t="n">
        <x:f>D4-C4</x:f>
        <x:v>1.7004192900340627</x:v>
      </x:c>
      <x:c r="H4" s="81" t="n">
        <x:f>E4-D4</x:f>
        <x:v>2.0664644811604376</x:v>
      </x:c>
    </x:row>
    <x:row r="5">
      <x:c r="A5" s="30" t="str">
        <x:v>Western</x:v>
      </x:c>
      <x:c r="B5" s="31" t="n">
        <x:v>2022</x:v>
      </x:c>
      <x:c r="C5" s="81" t="n">
        <x:v>456.3594114707418</x:v>
      </x:c>
      <x:c r="D5" s="81" t="n">
        <x:v>458.0883845445152</x:v>
      </x:c>
      <x:c r="E5" s="81" t="n">
        <x:v>460.2146294581476</x:v>
      </x:c>
      <x:c r="F5" s="81" t="n">
        <x:f>E5-C5</x:f>
        <x:v>3.8552179874058083</x:v>
      </x:c>
      <x:c r="G5" s="81" t="n">
        <x:f>D5-C5</x:f>
        <x:v>1.7289730737733748</x:v>
      </x:c>
      <x:c r="H5" s="81" t="n">
        <x:f>E5-D5</x:f>
        <x:v>2.1262449136324335</x:v>
      </x:c>
    </x:row>
    <x:row r="6">
      <x:c r="A6" s="30" t="str">
        <x:v>Western</x:v>
      </x:c>
      <x:c r="B6" s="31" t="n">
        <x:v>2023</x:v>
      </x:c>
      <x:c r="C6" s="81" t="n">
        <x:v>453.9851142350777</x:v>
      </x:c>
      <x:c r="D6" s="81" t="n">
        <x:v>456.15437634466974</x:v>
      </x:c>
      <x:c r="E6" s="81" t="n">
        <x:v>458.89644635564485</x:v>
      </x:c>
      <x:c r="F6" s="81" t="n">
        <x:f>E6-C6</x:f>
        <x:v>4.911332120567181</x:v>
      </x:c>
      <x:c r="G6" s="81" t="n">
        <x:f>D6-C6</x:f>
        <x:v>2.1692621095920686</x:v>
      </x:c>
      <x:c r="H6" s="81" t="n">
        <x:f>E6-D6</x:f>
        <x:v>2.7420700109751124</x:v>
      </x:c>
    </x:row>
    <x:row r="7">
      <x:c r="A7" s="30" t="str">
        <x:v>Western</x:v>
      </x:c>
      <x:c r="B7" s="31" t="n">
        <x:v>2024</x:v>
      </x:c>
      <x:c r="C7" s="81" t="n">
        <x:v>459.9691100119071</x:v>
      </x:c>
      <x:c r="D7" s="81" t="n">
        <x:v>462.1279418168423</x:v>
      </x:c>
      <x:c r="E7" s="81" t="n">
        <x:v>464.8752856474544</x:v>
      </x:c>
      <x:c r="F7" s="81" t="n">
        <x:f>E7-C7</x:f>
        <x:v>4.906175635547299</x:v>
      </x:c>
      <x:c r="G7" s="81" t="n">
        <x:f>D7-C7</x:f>
        <x:v>2.1588318049351756</x:v>
      </x:c>
      <x:c r="H7" s="81" t="n">
        <x:f>E7-D7</x:f>
        <x:v>2.747343830612124</x:v>
      </x:c>
    </x:row>
    <x:row r="8">
      <x:c r="A8" s="33" t="str">
        <x:v>Western</x:v>
      </x:c>
      <x:c r="B8" s="34" t="n">
        <x:v>2025</x:v>
      </x:c>
      <x:c r="C8" s="81" t="n">
        <x:v>458.3021144674418</x:v>
      </x:c>
      <x:c r="D8" s="81" t="n">
        <x:v>460.4253688820277</x:v>
      </x:c>
      <x:c r="E8" s="81" t="n">
        <x:v>463.13528570136447</x:v>
      </x:c>
      <x:c r="F8" s="81" t="n">
        <x:f>E8-C8</x:f>
        <x:v>4.833171233922656</x:v>
      </x:c>
      <x:c r="G8" s="81" t="n">
        <x:f>D8-C8</x:f>
        <x:v>2.123254414585915</x:v>
      </x:c>
      <x:c r="H8" s="81" t="n">
        <x:f>E8-D8</x:f>
        <x:v>2.7099168193367404</x:v>
      </x:c>
    </x:row>
  </x:sheetData>
  <x:pageMargins left="0.7" right="0.7" top="0.75" bottom="0.75" header="0.3" footer="0.3"/>
  <x:tableParts count="1">
    <x:tablePart xmlns:r="http://schemas.openxmlformats.org/officeDocument/2006/relationships" r:id="R1753fcb8fab84af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21" hidden="0" customWidth="1"/>
    <x:col min="5" max="5" width="21" hidden="0" customWidth="1"/>
    <x:col min="6" max="6" width="20" hidden="0" customWidth="1"/>
    <x:col min="7" max="7" width="17" hidden="0" customWidth="1"/>
    <x:col min="8" max="8" width="24" hidden="0" customWidth="1"/>
    <x:col min="9" max="9" width="27" hidden="0" customWidth="1"/>
    <x:col min="10" max="10" width="28" hidden="0" customWidth="1"/>
    <x:col min="11" max="11" width="27" hidden="0" customWidth="1"/>
    <x:col min="12" max="12" width="26" hidden="0" customWidth="1"/>
  </x:cols>
  <x:sheetData>
    <x:row r="1" ht="54" customHeight="1">
      <x:c r="A1" s="12" t="str">
        <x:v>Coastal Zone</x:v>
      </x:c>
      <x:c r="B1" s="13" t="str">
        <x:v>Period</x:v>
      </x:c>
      <x:c r="C1" s="13" t="str">
        <x:v>Primary Net Change at 0.05 (km²)</x:v>
      </x:c>
      <x:c r="D1" s="13" t="str">
        <x:v>Net Change at 0.00 (km²)</x:v>
      </x:c>
      <x:c r="E1" s="13" t="str">
        <x:v>Net Change at 0.10 (km²)</x:v>
      </x:c>
      <x:c r="F1" s="13" t="str">
        <x:v>Sensitivity Range (km²)</x:v>
      </x:c>
      <x:c r="G1" s="13" t="str">
        <x:v>Direction Stable?</x:v>
      </x:c>
      <x:c r="H1" s="13" t="str">
        <x:v>Threshold-Sensitive Area (km²)</x:v>
      </x:c>
      <x:c r="I1" s="13" t="str">
        <x:v>Approx. Threshold-Sensitive 10 m Pixels</x:v>
      </x:c>
      <x:c r="J1" s="13" t="str">
        <x:v>Sensitive Primary Transition Area (km²)</x:v>
      </x:c>
      <x:c r="K1" s="13" t="str">
        <x:v>Approx. Sensitive Transition 10 m Pixels</x:v>
      </x:c>
      <x:c r="L1" s="14" t="str">
        <x:v>Sensitive Share of Primary Transition (%)</x:v>
      </x:c>
    </x:row>
    <x:row r="2">
      <x:c r="A2" s="30" t="str">
        <x:v>Western</x:v>
      </x:c>
      <x:c r="B2" s="31" t="str">
        <x:v>2019–2020</x:v>
      </x:c>
      <x:c r="C2" s="81" t="n">
        <x:v>0.3099577678899923</x:v>
      </x:c>
      <x:c r="D2" s="81" t="n">
        <x:v>0.3526290775322942</x:v>
      </x:c>
      <x:c r="E2" s="81" t="n">
        <x:v>0.11942339595549889</x:v>
      </x:c>
      <x:c r="F2" s="81" t="n">
        <x:f>MAX(C2:E2)-MIN(C2:E2)</x:f>
        <x:v>0.23320568157679533</x:v>
      </x:c>
      <x:c r="G2" s="42" t="str">
        <x:v>Yes</x:v>
      </x:c>
      <x:c r="H2" s="81" t="n">
        <x:v>6.575517812099789</x:v>
      </x:c>
      <x:c r="I2" s="83" t="n">
        <x:f>ROUND(H2*10000,0)</x:f>
        <x:v>65755</x:v>
      </x:c>
      <x:c r="J2" s="81" t="n">
        <x:v>2.652873794195201</x:v>
      </x:c>
      <x:c r="K2" s="83" t="n">
        <x:f>ROUND(J2*10000,0)</x:f>
        <x:v>26529</x:v>
      </x:c>
      <x:c r="L2" s="50" t="n">
        <x:v>44.644648663304814</x:v>
      </x:c>
    </x:row>
    <x:row r="3">
      <x:c r="A3" s="30" t="str">
        <x:v>Western</x:v>
      </x:c>
      <x:c r="B3" s="31" t="str">
        <x:v>2020–2021</x:v>
      </x:c>
      <x:c r="C3" s="81" t="n">
        <x:v>-1.7959031422379974</x:v>
      </x:c>
      <x:c r="D3" s="81" t="n">
        <x:v>-1.8545477276330689</x:v>
      </x:c>
      <x:c r="E3" s="81" t="n">
        <x:v>-1.7331818735469229</x:v>
      </x:c>
      <x:c r="F3" s="81" t="n">
        <x:f>MAX(C3:E3)-MIN(C3:E3)</x:f>
        <x:v>0.12136585408614597</x:v>
      </x:c>
      <x:c r="G3" s="42" t="str">
        <x:v>Yes</x:v>
      </x:c>
      <x:c r="H3" s="81" t="n">
        <x:v>6.531801273177467</x:v>
      </x:c>
      <x:c r="I3" s="83" t="n">
        <x:f>ROUND(H3*10000,0)</x:f>
        <x:v>65318</x:v>
      </x:c>
      <x:c r="J3" s="81" t="n">
        <x:v>2.677424496591352</x:v>
      </x:c>
      <x:c r="K3" s="83" t="n">
        <x:f>ROUND(J3*10000,0)</x:f>
        <x:v>26774</x:v>
      </x:c>
      <x:c r="L3" s="50" t="n">
        <x:v>44.81283199468251</x:v>
      </x:c>
    </x:row>
    <x:row r="4">
      <x:c r="A4" s="30" t="str">
        <x:v>Western</x:v>
      </x:c>
      <x:c r="B4" s="31" t="str">
        <x:v>2021–2022</x:v>
      </x:c>
      <x:c r="C4" s="81" t="n">
        <x:v>2.1427313892287203</x:v>
      </x:c>
      <x:c r="D4" s="81" t="n">
        <x:v>2.1147776254831685</x:v>
      </x:c>
      <x:c r="E4" s="81" t="n">
        <x:v>2.202311808914579</x:v>
      </x:c>
      <x:c r="F4" s="81" t="n">
        <x:f>MAX(C4:E4)-MIN(C4:E4)</x:f>
        <x:v>0.08753418343141028</x:v>
      </x:c>
      <x:c r="G4" s="42" t="str">
        <x:v>Yes</x:v>
      </x:c>
      <x:c r="H4" s="81" t="n">
        <x:v>6.58615256558742</x:v>
      </x:c>
      <x:c r="I4" s="83" t="n">
        <x:f>ROUND(H4*10000,0)</x:f>
        <x:v>65862</x:v>
      </x:c>
      <x:c r="J4" s="81" t="n">
        <x:v>2.681842218194866</x:v>
      </x:c>
      <x:c r="K4" s="83" t="n">
        <x:f>ROUND(J4*10000,0)</x:f>
        <x:v>26818</x:v>
      </x:c>
      <x:c r="L4" s="50" t="n">
        <x:v>57.156658114327804</x:v>
      </x:c>
    </x:row>
    <x:row r="5">
      <x:c r="A5" s="30" t="str">
        <x:v>Western</x:v>
      </x:c>
      <x:c r="B5" s="31" t="str">
        <x:v>2022–2023</x:v>
      </x:c>
      <x:c r="C5" s="81" t="n">
        <x:v>-1.93400819985996</x:v>
      </x:c>
      <x:c r="D5" s="81" t="n">
        <x:v>-2.374297235700543</x:v>
      </x:c>
      <x:c r="E5" s="81" t="n">
        <x:v>-1.31818310245181</x:v>
      </x:c>
      <x:c r="F5" s="81" t="n">
        <x:f>MAX(C5:E5)-MIN(C5:E5)</x:f>
        <x:v>1.056114133248733</x:v>
      </x:c>
      <x:c r="G5" s="42" t="str">
        <x:v>Yes</x:v>
      </x:c>
      <x:c r="H5" s="81" t="n">
        <x:v>7.588814421029683</x:v>
      </x:c>
      <x:c r="I5" s="83" t="n">
        <x:f>ROUND(H5*10000,0)</x:f>
        <x:v>75888</x:v>
      </x:c>
      <x:c r="J5" s="81" t="n">
        <x:v>2.9803339660863046</x:v>
      </x:c>
      <x:c r="K5" s="83" t="n">
        <x:f>ROUND(J5*10000,0)</x:f>
        <x:v>29803</x:v>
      </x:c>
      <x:c r="L5" s="50" t="n">
        <x:v>64.76254163793674</x:v>
      </x:c>
    </x:row>
    <x:row r="6">
      <x:c r="A6" s="30" t="str">
        <x:v>Western</x:v>
      </x:c>
      <x:c r="B6" s="31" t="str">
        <x:v>2023–2024</x:v>
      </x:c>
      <x:c r="C6" s="81" t="n">
        <x:v>5.973565472172535</x:v>
      </x:c>
      <x:c r="D6" s="81" t="n">
        <x:v>5.983995776836716</x:v>
      </x:c>
      <x:c r="E6" s="81" t="n">
        <x:v>5.978839291773213</x:v>
      </x:c>
      <x:c r="F6" s="81" t="n">
        <x:f>MAX(C6:E6)-MIN(C6:E6)</x:f>
        <x:v>0.010430304664181378</x:v>
      </x:c>
      <x:c r="G6" s="42" t="str">
        <x:v>Yes</x:v>
      </x:c>
      <x:c r="H6" s="81" t="n">
        <x:v>8.927765593962862</x:v>
      </x:c>
      <x:c r="I6" s="83" t="n">
        <x:f>ROUND(H6*10000,0)</x:f>
        <x:v>89278</x:v>
      </x:c>
      <x:c r="J6" s="81" t="n">
        <x:v>3.724722749927976</x:v>
      </x:c>
      <x:c r="K6" s="83" t="n">
        <x:f>ROUND(J6*10000,0)</x:f>
        <x:v>37247</x:v>
      </x:c>
      <x:c r="L6" s="50" t="n">
        <x:v>50.58258357675265</x:v>
      </x:c>
    </x:row>
    <x:row r="7">
      <x:c r="A7" s="30" t="str">
        <x:v>Western</x:v>
      </x:c>
      <x:c r="B7" s="31" t="str">
        <x:v>2024–2025</x:v>
      </x:c>
      <x:c r="C7" s="81" t="n">
        <x:v>-1.7025729347928027</x:v>
      </x:c>
      <x:c r="D7" s="81" t="n">
        <x:v>-1.6669955444580125</x:v>
      </x:c>
      <x:c r="E7" s="81" t="n">
        <x:v>-1.7399999460681368</x:v>
      </x:c>
      <x:c r="F7" s="81" t="n">
        <x:f>MAX(C7:E7)-MIN(C7:E7)</x:f>
        <x:v>0.07300440161012434</x:v>
      </x:c>
      <x:c r="G7" s="42" t="str">
        <x:v>Yes</x:v>
      </x:c>
      <x:c r="H7" s="81" t="n">
        <x:v>8.253105224879784</x:v>
      </x:c>
      <x:c r="I7" s="83" t="n">
        <x:f>ROUND(H7*10000,0)</x:f>
        <x:v>82531</x:v>
      </x:c>
      <x:c r="J7" s="81" t="n">
        <x:v>3.1848796651310884</x:v>
      </x:c>
      <x:c r="K7" s="83" t="n">
        <x:f>ROUND(J7*10000,0)</x:f>
        <x:v>31849</x:v>
      </x:c>
      <x:c r="L7" s="50" t="n">
        <x:v>62.4127975144146</x:v>
      </x:c>
    </x:row>
    <x:row r="8">
      <x:c r="A8" s="63" t="str">
        <x:v>Western</x:v>
      </x:c>
      <x:c r="B8" s="64" t="str">
        <x:v>2019–2025</x:v>
      </x:c>
      <x:c r="C8" s="82" t="n">
        <x:v>2.9933703226082686</x:v>
      </x:c>
      <x:c r="D8" s="82" t="n">
        <x:v>2.5547619287015046</x:v>
      </x:c>
      <x:c r="E8" s="82" t="n">
        <x:v>3.508709543397023</x:v>
      </x:c>
      <x:c r="F8" s="82" t="n">
        <x:f>MAX(C8:E8)-MIN(C8:E8)</x:f>
        <x:v>0.9539476146955184</x:v>
      </x:c>
      <x:c r="G8" s="65" t="str">
        <x:v>Yes</x:v>
      </x:c>
      <x:c r="H8" s="82" t="n">
        <x:v>7.6678677048340695</x:v>
      </x:c>
      <x:c r="I8" s="84" t="n">
        <x:f>ROUND(H8*10000,0)</x:f>
        <x:v>76679</x:v>
      </x:c>
      <x:c r="J8" s="82" t="n">
        <x:v>3.049978538748167</x:v>
      </x:c>
      <x:c r="K8" s="84" t="n">
        <x:f>ROUND(J8*10000,0)</x:f>
        <x:v>30500</x:v>
      </x:c>
      <x:c r="L8" s="67" t="n">
        <x:v>40.81665383349955</x:v>
      </x:c>
    </x:row>
  </x:sheetData>
  <x:conditionalFormatting sqref="G2:G8">
    <x:cfRule type="expression" dxfId="0" priority="1">
      <x:formula>G2="No"</x:formula>
    </x:cfRule>
    <x:cfRule type="expression" dxfId="1" priority="2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645547033e4c9f"/>
  </x:tableParts>
</x:worksheet>
</file>