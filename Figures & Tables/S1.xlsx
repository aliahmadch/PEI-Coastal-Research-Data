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610343acd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Threshold Context" sheetId="1" r:id="Rae8c9ec6551b4464"/>
    <x:sheet xmlns:r="http://schemas.openxmlformats.org/officeDocument/2006/relationships" name="Change Uncertainty" sheetId="2" r:id="R177d32ece9e9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9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19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2" fontId="0" fillId="0" borderId="15" xfId="0" applyNumberFormat="1" applyFont="1" applyFill="1" applyBorder="1" applyAlignment="1">
      <x:alignment vertical="center"/>
    </x:xf>
    <x:xf numFmtId="202" fontId="0" fillId="0" borderId="18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200" fontId="0" fillId="3" borderId="9" xfId="0" applyNumberFormat="1" applyFont="1" applyFill="1" applyBorder="1" applyAlignment="1">
      <x:alignment vertical="center"/>
    </x:xf>
    <x:xf numFmtId="202" fontId="0" fillId="3" borderId="9" xfId="0" applyNumberFormat="1" applyFont="1" applyFill="1" applyBorder="1" applyAlignment="1">
      <x:alignment vertical="center"/>
    </x:xf>
    <x:xf numFmtId="201" fontId="0" fillId="3" borderId="10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200" fontId="2" fillId="3" borderId="9" xfId="0" applyNumberFormat="1" applyFont="1" applyFill="1" applyBorder="1" applyAlignment="1">
      <x:alignment vertical="center"/>
    </x:xf>
    <x:xf numFmtId="202" fontId="2" fillId="3" borderId="9" xfId="0" applyNumberFormat="1" applyFont="1" applyFill="1" applyBorder="1" applyAlignment="1">
      <x:alignment vertical="center"/>
    </x:xf>
    <x:xf numFmtId="201" fontId="2" fillId="3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2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202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3a924852046ca" /><Relationship Type="http://schemas.openxmlformats.org/officeDocument/2006/relationships/theme" Target="/xl/theme/theme1.xml" Id="Rd408573e6dab41e4" /><Relationship Type="http://schemas.openxmlformats.org/officeDocument/2006/relationships/sharedStrings" Target="/xl/sharedStrings.xml" Id="Rb72cb168fa8a43b3" /><Relationship Type="http://schemas.openxmlformats.org/officeDocument/2006/relationships/worksheet" Target="/xl/worksheets/sheet1.xml" Id="Rae8c9ec6551b4464" /><Relationship Type="http://schemas.openxmlformats.org/officeDocument/2006/relationships/worksheet" Target="/xl/worksheets/sheet2.xml" Id="R177d32ece9e94e4c" /></Relationships>
</file>

<file path=xl/tables/table1.xml><?xml version="1.0" encoding="utf-8"?>
<x:table xmlns:x="http://schemas.openxmlformats.org/spreadsheetml/2006/main" id="1" name="AnnualThresholdTable" displayName="AnnualThresholdTable" ref="A1:H8" headerRowCount="1">
  <x:tableColumns count="8">
    <x:tableColumn id="1" name="Coastal Zone"/>
    <x:tableColumn id="2" name="Year"/>
    <x:tableColumn id="3" name="Land Area at 0.00 (km²)"/>
    <x:tableColumn id="4" name="Primary Land Area at 0.05 (km²)"/>
    <x:tableColumn id="5" name="Land Area at 0.10 (km²)"/>
    <x:tableColumn id="6" name="Threshold Spread (km²)"/>
    <x:tableColumn id="7" name="Shift: 0.00 to 0.05 (km²)"/>
    <x:tableColumn id="8" name="Shift: 0.05 to 0.10 (km²)"/>
  </x:tableColumns>
  <x:tableStyleInfo name="TableStyleMedium2" showRowStripes="1"/>
</x:table>
</file>

<file path=xl/tables/table2.xml><?xml version="1.0" encoding="utf-8"?>
<x:table xmlns:x="http://schemas.openxmlformats.org/spreadsheetml/2006/main" id="2" name="ChangeUncertaintyTable" displayName="ChangeUncertaintyTable" ref="A1:L8" headerRowCount="1">
  <x:tableColumns count="12">
    <x:tableColumn id="1" name="Coastal Zone"/>
    <x:tableColumn id="2" name="Period"/>
    <x:tableColumn id="3" name="Primary Net Change at 0.05 (km²)"/>
    <x:tableColumn id="4" name="Net Change at 0.00 (km²)"/>
    <x:tableColumn id="5" name="Net Change at 0.10 (km²)"/>
    <x:tableColumn id="6" name="Sensitivity Range (km²)"/>
    <x:tableColumn id="7" name="Direction Stable?"/>
    <x:tableColumn id="8" name="Threshold-Sensitive Area (km²)"/>
    <x:tableColumn id="9" name="Approx. Threshold-Sensitive 10 m Pixels"/>
    <x:tableColumn id="10" name="Sensitive Primary Transition Area (km²)"/>
    <x:tableColumn id="11" name="Approx. Sensitive Transition 10 m Pixels"/>
    <x:tableColumn id="12" name="Sensitive Share of Primary Transition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bf62e519d942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5805f85e3e41e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21" hidden="0" customWidth="1"/>
    <x:col min="4" max="4" width="24" hidden="0" customWidth="1"/>
    <x:col min="5" max="5" width="21" hidden="0" customWidth="1"/>
    <x:col min="6" max="6" width="20" hidden="0" customWidth="1"/>
    <x:col min="7" max="7" width="23" hidden="0" customWidth="1"/>
    <x:col min="8" max="8" width="23" hidden="0" customWidth="1"/>
  </x:cols>
  <x:sheetData>
    <x:row r="1" ht="36" customHeight="1">
      <x:c r="A1" s="12" t="str">
        <x:v>Coastal Zone</x:v>
      </x:c>
      <x:c r="B1" s="13" t="str">
        <x:v>Year</x:v>
      </x:c>
      <x:c r="C1" s="13" t="str">
        <x:v>Land Area at 0.00 (km²)</x:v>
      </x:c>
      <x:c r="D1" s="13" t="str">
        <x:v>Primary Land Area at 0.05 (km²)</x:v>
      </x:c>
      <x:c r="E1" s="13" t="str">
        <x:v>Land Area at 0.10 (km²)</x:v>
      </x:c>
      <x:c r="F1" s="13" t="str">
        <x:v>Threshold Spread (km²)</x:v>
      </x:c>
      <x:c r="G1" s="13" t="str">
        <x:v>Shift: 0.00 to 0.05 (km²)</x:v>
      </x:c>
      <x:c r="H1" s="14" t="str">
        <x:v>Shift: 0.05 to 0.10 (km²)</x:v>
      </x:c>
    </x:row>
    <x:row r="2">
      <x:c r="A2" s="30" t="str">
        <x:v>WesternMost</x:v>
      </x:c>
      <x:c r="B2" s="31" t="n">
        <x:v>2019</x:v>
      </x:c>
      <x:c r="C2" s="81" t="n">
        <x:v>445.8148428069539</x:v>
      </x:c>
      <x:c r="D2" s="81" t="n">
        <x:v>447.5571287999151</x:v>
      </x:c>
      <x:c r="E2" s="81" t="n">
        <x:v>450.04175802420696</x:v>
      </x:c>
      <x:c r="F2" s="81" t="n">
        <x:f>E2-C2</x:f>
        <x:v>4.226915217253065</x:v>
      </x:c>
      <x:c r="G2" s="81" t="n">
        <x:f>D2-C2</x:f>
        <x:v>1.7422859929612287</x:v>
      </x:c>
      <x:c r="H2" s="81" t="n">
        <x:f>E2-D2</x:f>
        <x:v>2.4846292242918366</x:v>
      </x:c>
    </x:row>
    <x:row r="3">
      <x:c r="A3" s="30" t="str">
        <x:v>WesternMost</x:v>
      </x:c>
      <x:c r="B3" s="31" t="n">
        <x:v>2020</x:v>
      </x:c>
      <x:c r="C3" s="81" t="n">
        <x:v>444.57097490960814</x:v>
      </x:c>
      <x:c r="D3" s="81" t="n">
        <x:v>446.0288713221933</x:v>
      </x:c>
      <x:c r="E3" s="81" t="n">
        <x:v>447.8955603566711</x:v>
      </x:c>
      <x:c r="F3" s="81" t="n">
        <x:f>E3-C3</x:f>
        <x:v>3.3245854470629865</x:v>
      </x:c>
      <x:c r="G3" s="81" t="n">
        <x:f>D3-C3</x:f>
        <x:v>1.4578964125851712</x:v>
      </x:c>
      <x:c r="H3" s="81" t="n">
        <x:f>E3-D3</x:f>
        <x:v>1.8666890344778153</x:v>
      </x:c>
    </x:row>
    <x:row r="4">
      <x:c r="A4" s="30" t="str">
        <x:v>WesternMost</x:v>
      </x:c>
      <x:c r="B4" s="31" t="n">
        <x:v>2021</x:v>
      </x:c>
      <x:c r="C4" s="81" t="n">
        <x:v>445.1632851778298</x:v>
      </x:c>
      <x:c r="D4" s="81" t="n">
        <x:v>447.0375415463264</x:v>
      </x:c>
      <x:c r="E4" s="81" t="n">
        <x:v>449.39496348070395</x:v>
      </x:c>
      <x:c r="F4" s="81" t="n">
        <x:f>E4-C4</x:f>
        <x:v>4.2316783028741725</x:v>
      </x:c>
      <x:c r="G4" s="81" t="n">
        <x:f>D4-C4</x:f>
        <x:v>1.8742563684966171</x:v>
      </x:c>
      <x:c r="H4" s="81" t="n">
        <x:f>E4-D4</x:f>
        <x:v>2.3574219343775553</x:v>
      </x:c>
    </x:row>
    <x:row r="5">
      <x:c r="A5" s="30" t="str">
        <x:v>WesternMost</x:v>
      </x:c>
      <x:c r="B5" s="31" t="n">
        <x:v>2022</x:v>
      </x:c>
      <x:c r="C5" s="81" t="n">
        <x:v>446.4645644485286</x:v>
      </x:c>
      <x:c r="D5" s="81" t="n">
        <x:v>448.5707404229424</x:v>
      </x:c>
      <x:c r="E5" s="81" t="n">
        <x:v>451.4054677031045</x:v>
      </x:c>
      <x:c r="F5" s="81" t="n">
        <x:f>E5-C5</x:f>
        <x:v>4.940903254575858</x:v>
      </x:c>
      <x:c r="G5" s="81" t="n">
        <x:f>D5-C5</x:f>
        <x:v>2.106175974413759</x:v>
      </x:c>
      <x:c r="H5" s="81" t="n">
        <x:f>E5-D5</x:f>
        <x:v>2.834727280162099</x:v>
      </x:c>
    </x:row>
    <x:row r="6">
      <x:c r="A6" s="30" t="str">
        <x:v>WesternMost</x:v>
      </x:c>
      <x:c r="B6" s="31" t="n">
        <x:v>2023</x:v>
      </x:c>
      <x:c r="C6" s="81" t="n">
        <x:v>443.81770359722344</x:v>
      </x:c>
      <x:c r="D6" s="81" t="n">
        <x:v>445.90843067111945</x:v>
      </x:c>
      <x:c r="E6" s="81" t="n">
        <x:v>448.78340302634217</x:v>
      </x:c>
      <x:c r="F6" s="81" t="n">
        <x:f>E6-C6</x:f>
        <x:v>4.965699429118729</x:v>
      </x:c>
      <x:c r="G6" s="81" t="n">
        <x:f>D6-C6</x:f>
        <x:v>2.090727073896005</x:v>
      </x:c>
      <x:c r="H6" s="81" t="n">
        <x:f>E6-D6</x:f>
        <x:v>2.8749723552227238</x:v>
      </x:c>
    </x:row>
    <x:row r="7">
      <x:c r="A7" s="30" t="str">
        <x:v>WesternMost</x:v>
      </x:c>
      <x:c r="B7" s="31" t="n">
        <x:v>2024</x:v>
      </x:c>
      <x:c r="C7" s="81" t="n">
        <x:v>445.4168543568974</x:v>
      </x:c>
      <x:c r="D7" s="81" t="n">
        <x:v>447.2753714287991</x:v>
      </x:c>
      <x:c r="E7" s="81" t="n">
        <x:v>449.5798293311233</x:v>
      </x:c>
      <x:c r="F7" s="81" t="n">
        <x:f>E7-C7</x:f>
        <x:v>4.162974974225904</x:v>
      </x:c>
      <x:c r="G7" s="81" t="n">
        <x:f>D7-C7</x:f>
        <x:v>1.8585170719017015</x:v>
      </x:c>
      <x:c r="H7" s="81" t="n">
        <x:f>E7-D7</x:f>
        <x:v>2.3044579023242022</x:v>
      </x:c>
    </x:row>
    <x:row r="8">
      <x:c r="A8" s="33" t="str">
        <x:v>WesternMost</x:v>
      </x:c>
      <x:c r="B8" s="34" t="n">
        <x:v>2025</x:v>
      </x:c>
      <x:c r="C8" s="81" t="n">
        <x:v>444.9929973350622</x:v>
      </x:c>
      <x:c r="D8" s="81" t="n">
        <x:v>447.2463044388597</x:v>
      </x:c>
      <x:c r="E8" s="81" t="n">
        <x:v>450.2766548594366</x:v>
      </x:c>
      <x:c r="F8" s="81" t="n">
        <x:f>E8-C8</x:f>
        <x:v>5.283657524374348</x:v>
      </x:c>
      <x:c r="G8" s="81" t="n">
        <x:f>D8-C8</x:f>
        <x:v>2.2533071037974537</x:v>
      </x:c>
      <x:c r="H8" s="81" t="n">
        <x:f>E8-D8</x:f>
        <x:v>3.0303504205768945</x:v>
      </x:c>
    </x:row>
  </x:sheetData>
  <x:pageMargins left="0.7" right="0.7" top="0.75" bottom="0.75" header="0.3" footer="0.3"/>
  <x:tableParts count="1">
    <x:tablePart xmlns:r="http://schemas.openxmlformats.org/officeDocument/2006/relationships" r:id="R1bbf62e519d942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3" hidden="0" customWidth="1"/>
    <x:col min="4" max="4" width="21" hidden="0" customWidth="1"/>
    <x:col min="5" max="5" width="21" hidden="0" customWidth="1"/>
    <x:col min="6" max="6" width="20" hidden="0" customWidth="1"/>
    <x:col min="7" max="7" width="17" hidden="0" customWidth="1"/>
    <x:col min="8" max="8" width="24" hidden="0" customWidth="1"/>
    <x:col min="9" max="9" width="27" hidden="0" customWidth="1"/>
    <x:col min="10" max="10" width="28" hidden="0" customWidth="1"/>
    <x:col min="11" max="11" width="27" hidden="0" customWidth="1"/>
    <x:col min="12" max="12" width="26" hidden="0" customWidth="1"/>
  </x:cols>
  <x:sheetData>
    <x:row r="1" ht="54" customHeight="1">
      <x:c r="A1" s="12" t="str">
        <x:v>Coastal Zone</x:v>
      </x:c>
      <x:c r="B1" s="13" t="str">
        <x:v>Period</x:v>
      </x:c>
      <x:c r="C1" s="13" t="str">
        <x:v>Primary Net Change at 0.05 (km²)</x:v>
      </x:c>
      <x:c r="D1" s="13" t="str">
        <x:v>Net Change at 0.00 (km²)</x:v>
      </x:c>
      <x:c r="E1" s="13" t="str">
        <x:v>Net Change at 0.10 (km²)</x:v>
      </x:c>
      <x:c r="F1" s="13" t="str">
        <x:v>Sensitivity Range (km²)</x:v>
      </x:c>
      <x:c r="G1" s="13" t="str">
        <x:v>Direction Stable?</x:v>
      </x:c>
      <x:c r="H1" s="13" t="str">
        <x:v>Threshold-Sensitive Area (km²)</x:v>
      </x:c>
      <x:c r="I1" s="13" t="str">
        <x:v>Approx. Threshold-Sensitive 10 m Pixels</x:v>
      </x:c>
      <x:c r="J1" s="13" t="str">
        <x:v>Sensitive Primary Transition Area (km²)</x:v>
      </x:c>
      <x:c r="K1" s="13" t="str">
        <x:v>Approx. Sensitive Transition 10 m Pixels</x:v>
      </x:c>
      <x:c r="L1" s="14" t="str">
        <x:v>Sensitive Share of Primary Transition (%)</x:v>
      </x:c>
    </x:row>
    <x:row r="2">
      <x:c r="A2" s="30" t="str">
        <x:v>WesternMost</x:v>
      </x:c>
      <x:c r="B2" s="31" t="str">
        <x:v>2019–2020</x:v>
      </x:c>
      <x:c r="C2" s="81" t="n">
        <x:v>-1.5282574777290803</x:v>
      </x:c>
      <x:c r="D2" s="81" t="n">
        <x:v>-1.2438678973021133</x:v>
      </x:c>
      <x:c r="E2" s="81" t="n">
        <x:v>-2.1461976675576913</x:v>
      </x:c>
      <x:c r="F2" s="81" t="n">
        <x:f>MAX(C2:E2)-MIN(C2:E2)</x:f>
        <x:v>0.9023297702555779</x:v>
      </x:c>
      <x:c r="G2" s="42" t="str">
        <x:v>Yes</x:v>
      </x:c>
      <x:c r="H2" s="81" t="n">
        <x:v>6.444592202016678</x:v>
      </x:c>
      <x:c r="I2" s="83" t="n">
        <x:f>ROUND(H2*10000,0)</x:f>
        <x:v>64446</x:v>
      </x:c>
      <x:c r="J2" s="81" t="n">
        <x:v>2.459083228093525</x:v>
      </x:c>
      <x:c r="K2" s="83" t="n">
        <x:f>ROUND(J2*10000,0)</x:f>
        <x:v>24591</x:v>
      </x:c>
      <x:c r="L2" s="50" t="n">
        <x:v>44.644648663304814</x:v>
      </x:c>
    </x:row>
    <x:row r="3">
      <x:c r="A3" s="30" t="str">
        <x:v>WesternMost</x:v>
      </x:c>
      <x:c r="B3" s="31" t="str">
        <x:v>2020–2021</x:v>
      </x:c>
      <x:c r="C3" s="81" t="n">
        <x:v>1.0096702116878253</x:v>
      </x:c>
      <x:c r="D3" s="81" t="n">
        <x:v>0.5932102570157582</x:v>
      </x:c>
      <x:c r="E3" s="81" t="n">
        <x:v>1.500403111602103</x:v>
      </x:c>
      <x:c r="F3" s="81" t="n">
        <x:f>MAX(C3:E3)-MIN(C3:E3)</x:f>
        <x:v>0.9071928545863448</x:v>
      </x:c>
      <x:c r="G3" s="42" t="str">
        <x:v>Yes</x:v>
      </x:c>
      <x:c r="H3" s="81" t="n">
        <x:v>6.274222275541522</x:v>
      </x:c>
      <x:c r="I3" s="83" t="n">
        <x:f>ROUND(H3*10000,0)</x:f>
        <x:v>62742</x:v>
      </x:c>
      <x:c r="J3" s="81" t="n">
        <x:v>2.4138381076721</x:v>
      </x:c>
      <x:c r="K3" s="83" t="n">
        <x:f>ROUND(J3*10000,0)</x:f>
        <x:v>24138</x:v>
      </x:c>
      <x:c r="L3" s="50" t="n">
        <x:v>44.81283199468251</x:v>
      </x:c>
    </x:row>
    <x:row r="4">
      <x:c r="A4" s="30" t="str">
        <x:v>WesternMost</x:v>
      </x:c>
      <x:c r="B4" s="31" t="str">
        <x:v>2021–2022</x:v>
      </x:c>
      <x:c r="C4" s="81" t="n">
        <x:v>1.5322988878872514</x:v>
      </x:c>
      <x:c r="D4" s="81" t="n">
        <x:v>1.3005792794403885</x:v>
      </x:c>
      <x:c r="E4" s="81" t="n">
        <x:v>2.0095042349040217</x:v>
      </x:c>
      <x:c r="F4" s="81" t="n">
        <x:f>MAX(C4:E4)-MIN(C4:E4)</x:f>
        <x:v>0.7089249554636332</x:v>
      </x:c>
      <x:c r="G4" s="42" t="str">
        <x:v>Yes</x:v>
      </x:c>
      <x:c r="H4" s="81" t="n">
        <x:v>7.550292798457724</x:v>
      </x:c>
      <x:c r="I4" s="83" t="n">
        <x:f>ROUND(H4*10000,0)</x:f>
        <x:v>75503</x:v>
      </x:c>
      <x:c r="J4" s="81" t="n">
        <x:v>2.871295736029353</x:v>
      </x:c>
      <x:c r="K4" s="83" t="n">
        <x:f>ROUND(J4*10000,0)</x:f>
        <x:v>28713</x:v>
      </x:c>
      <x:c r="L4" s="50" t="n">
        <x:v>57.156658114327804</x:v>
      </x:c>
    </x:row>
    <x:row r="5">
      <x:c r="A5" s="30" t="str">
        <x:v>WesternMost</x:v>
      </x:c>
      <x:c r="B5" s="31" t="str">
        <x:v>2022–2023</x:v>
      </x:c>
      <x:c r="C5" s="81" t="n">
        <x:v>-2.662309751888325</x:v>
      </x:c>
      <x:c r="D5" s="81" t="n">
        <x:v>-2.6468608513269882</x:v>
      </x:c>
      <x:c r="E5" s="81" t="n">
        <x:v>-2.6220646768496776</x:v>
      </x:c>
      <x:c r="F5" s="81" t="n">
        <x:f>MAX(C5:E5)-MIN(C5:E5)</x:f>
        <x:v>0.04024507503864738</x:v>
      </x:c>
      <x:c r="G5" s="42" t="str">
        <x:v>Yes</x:v>
      </x:c>
      <x:c r="H5" s="81" t="n">
        <x:v>8.265042265954195</x:v>
      </x:c>
      <x:c r="I5" s="83" t="n">
        <x:f>ROUND(H5*10000,0)</x:f>
        <x:v>82650</x:v>
      </x:c>
      <x:c r="J5" s="81" t="n">
        <x:v>3.0904213411358583</x:v>
      </x:c>
      <x:c r="K5" s="83" t="n">
        <x:f>ROUND(J5*10000,0)</x:f>
        <x:v>30904</x:v>
      </x:c>
      <x:c r="L5" s="50" t="n">
        <x:v>64.76254163793674</x:v>
      </x:c>
    </x:row>
    <x:row r="6">
      <x:c r="A6" s="30" t="str">
        <x:v>WesternMost</x:v>
      </x:c>
      <x:c r="B6" s="31" t="str">
        <x:v>2023–2024</x:v>
      </x:c>
      <x:c r="C6" s="81" t="n">
        <x:v>1.3669407577087527</x:v>
      </x:c>
      <x:c r="D6" s="81" t="n">
        <x:v>1.599150759702966</x:v>
      </x:c>
      <x:c r="E6" s="81" t="n">
        <x:v>0.7964263048394198</x:v>
      </x:c>
      <x:c r="F6" s="81" t="n">
        <x:f>MAX(C6:E6)-MIN(C6:E6)</x:f>
        <x:v>0.8027244548635462</x:v>
      </x:c>
      <x:c r="G6" s="42" t="str">
        <x:v>Yes</x:v>
      </x:c>
      <x:c r="H6" s="81" t="n">
        <x:v>7.6810110404479985</x:v>
      </x:c>
      <x:c r="I6" s="83" t="n">
        <x:f>ROUND(H6*10000,0)</x:f>
        <x:v>76810</x:v>
      </x:c>
      <x:c r="J6" s="81" t="n">
        <x:v>2.956281009260833</x:v>
      </x:c>
      <x:c r="K6" s="83" t="n">
        <x:f>ROUND(J6*10000,0)</x:f>
        <x:v>29563</x:v>
      </x:c>
      <x:c r="L6" s="50" t="n">
        <x:v>50.58258357675265</x:v>
      </x:c>
    </x:row>
    <x:row r="7">
      <x:c r="A7" s="30" t="str">
        <x:v>WesternMost</x:v>
      </x:c>
      <x:c r="B7" s="31" t="str">
        <x:v>2024–2025</x:v>
      </x:c>
      <x:c r="C7" s="81" t="n">
        <x:v>-0.029066989924867226</x:v>
      </x:c>
      <x:c r="D7" s="81" t="n">
        <x:v>-0.4238570218060369</x:v>
      </x:c>
      <x:c r="E7" s="81" t="n">
        <x:v>0.6968255283060203</x:v>
      </x:c>
      <x:c r="F7" s="81" t="n">
        <x:f>MAX(C7:E7)-MIN(C7:E7)</x:f>
        <x:v>1.1206825501120572</x:v>
      </x:c>
      <x:c r="G7" s="42" t="str">
        <x:v>No</x:v>
      </x:c>
      <x:c r="H7" s="81" t="n">
        <x:v>7.2710596352236685</x:v>
      </x:c>
      <x:c r="I7" s="83" t="n">
        <x:f>ROUND(H7*10000,0)</x:f>
        <x:v>72711</x:v>
      </x:c>
      <x:c r="J7" s="81" t="n">
        <x:v>2.449170791177883</x:v>
      </x:c>
      <x:c r="K7" s="83" t="n">
        <x:f>ROUND(J7*10000,0)</x:f>
        <x:v>24492</x:v>
      </x:c>
      <x:c r="L7" s="50" t="n">
        <x:v>62.4127975144146</x:v>
      </x:c>
    </x:row>
    <x:row r="8">
      <x:c r="A8" s="63" t="str">
        <x:v>WesternMost</x:v>
      </x:c>
      <x:c r="B8" s="64" t="str">
        <x:v>2019–2025</x:v>
      </x:c>
      <x:c r="C8" s="82" t="n">
        <x:v>-0.3108243610117274</x:v>
      </x:c>
      <x:c r="D8" s="82" t="n">
        <x:v>-0.8218454717825954</x:v>
      </x:c>
      <x:c r="E8" s="82" t="n">
        <x:v>0.23489683524419558</x:v>
      </x:c>
      <x:c r="F8" s="82" t="n">
        <x:f>MAX(C8:E8)-MIN(C8:E8)</x:f>
        <x:v>1.056742307026791</x:v>
      </x:c>
      <x:c r="G8" s="65" t="str">
        <x:v>No</x:v>
      </x:c>
      <x:c r="H8" s="82" t="n">
        <x:v>8.008848346144248</x:v>
      </x:c>
      <x:c r="I8" s="84" t="n">
        <x:f>ROUND(H8*10000,0)</x:f>
        <x:v>80088</x:v>
      </x:c>
      <x:c r="J8" s="82" t="n">
        <x:v>3.027118267309361</x:v>
      </x:c>
      <x:c r="K8" s="84" t="n">
        <x:f>ROUND(J8*10000,0)</x:f>
        <x:v>30271</x:v>
      </x:c>
      <x:c r="L8" s="67" t="n">
        <x:v>40.81665383349955</x:v>
      </x:c>
    </x:row>
  </x:sheetData>
  <x:conditionalFormatting sqref="G2:G8">
    <x:cfRule type="expression" dxfId="0" priority="1">
      <x:formula>G2="No"</x:formula>
    </x:cfRule>
    <x:cfRule type="expression" dxfId="1" priority="2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e5805f85e3e41ee"/>
  </x:tableParts>
</x:worksheet>
</file>