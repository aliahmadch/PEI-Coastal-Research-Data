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93effdbcb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hreshold Context" sheetId="1" r:id="Rf058185a1d3840c6"/>
    <x:sheet xmlns:r="http://schemas.openxmlformats.org/officeDocument/2006/relationships" name="Change Uncertainty" sheetId="2" r:id="R2e7c9d9d79af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201" fontId="0" fillId="3" borderId="1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2a000e0a84adc" /><Relationship Type="http://schemas.openxmlformats.org/officeDocument/2006/relationships/theme" Target="/xl/theme/theme1.xml" Id="R55c63b9fe8c04c94" /><Relationship Type="http://schemas.openxmlformats.org/officeDocument/2006/relationships/sharedStrings" Target="/xl/sharedStrings.xml" Id="R0e67042ad2f1477d" /><Relationship Type="http://schemas.openxmlformats.org/officeDocument/2006/relationships/worksheet" Target="/xl/worksheets/sheet1.xml" Id="Rf058185a1d3840c6" /><Relationship Type="http://schemas.openxmlformats.org/officeDocument/2006/relationships/worksheet" Target="/xl/worksheets/sheet2.xml" Id="R2e7c9d9d79af4b0d" /></Relationships>
</file>

<file path=xl/tables/table1.xml><?xml version="1.0" encoding="utf-8"?>
<x:table xmlns:x="http://schemas.openxmlformats.org/spreadsheetml/2006/main" id="1" name="AnnualThresholdTable" displayName="AnnualThresholdTable" ref="A1:H8" headerRowCount="1">
  <x:tableColumns count="8">
    <x:tableColumn id="1" name="Coastal Zone"/>
    <x:tableColumn id="2" name="Year"/>
    <x:tableColumn id="3" name="Land Area at 0.00 (km²)"/>
    <x:tableColumn id="4" name="Primary Land Area at 0.05 (km²)"/>
    <x:tableColumn id="5" name="Land Area at 0.10 (km²)"/>
    <x:tableColumn id="6" name="Threshold Spread (km²)"/>
    <x:tableColumn id="7" name="Shift: 0.00 to 0.05 (km²)"/>
    <x:tableColumn id="8" name="Shift: 0.05 to 0.10 (km²)"/>
  </x:tableColumns>
  <x:tableStyleInfo name="TableStyleMedium2" showRowStripes="1"/>
</x:table>
</file>

<file path=xl/tables/table2.xml><?xml version="1.0" encoding="utf-8"?>
<x:table xmlns:x="http://schemas.openxmlformats.org/spreadsheetml/2006/main" id="2" name="ChangeUncertaintyTable" displayName="ChangeUncertaintyTable" ref="A1:L8" headerRowCount="1">
  <x:tableColumns count="12">
    <x:tableColumn id="1" name="Coastal Zone"/>
    <x:tableColumn id="2" name="Period"/>
    <x:tableColumn id="3" name="Primary Net Change at 0.05 (km²)"/>
    <x:tableColumn id="4" name="Net Change at 0.00 (km²)"/>
    <x:tableColumn id="5" name="Net Change at 0.10 (km²)"/>
    <x:tableColumn id="6" name="Sensitivity Range (km²)"/>
    <x:tableColumn id="7" name="Direction Stable?"/>
    <x:tableColumn id="8" name="Threshold-Sensitive Area (km²)"/>
    <x:tableColumn id="9" name="Approx. Threshold-Sensitive 10 m Pixels"/>
    <x:tableColumn id="10" name="Sensitive Primary Transition Area (km²)"/>
    <x:tableColumn id="11" name="Approx. Sensitive Transition 10 m Pixels"/>
    <x:tableColumn id="12" name="Sensitive Share of Primary Transition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3f3b4a3c043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c37e88eb5d476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1" hidden="0" customWidth="1"/>
    <x:col min="4" max="4" width="24" hidden="0" customWidth="1"/>
    <x:col min="5" max="5" width="21" hidden="0" customWidth="1"/>
    <x:col min="6" max="6" width="20" hidden="0" customWidth="1"/>
    <x:col min="7" max="7" width="23" hidden="0" customWidth="1"/>
    <x:col min="8" max="8" width="23" hidden="0" customWidth="1"/>
  </x:cols>
  <x:sheetData>
    <x:row r="1" ht="36" customHeight="1">
      <x:c r="A1" s="12" t="str">
        <x:v>Coastal Zone</x:v>
      </x:c>
      <x:c r="B1" s="13" t="str">
        <x:v>Year</x:v>
      </x:c>
      <x:c r="C1" s="13" t="str">
        <x:v>Land Area at 0.00 (km²)</x:v>
      </x:c>
      <x:c r="D1" s="13" t="str">
        <x:v>Primary Land Area at 0.05 (km²)</x:v>
      </x:c>
      <x:c r="E1" s="13" t="str">
        <x:v>Land Area at 0.10 (km²)</x:v>
      </x:c>
      <x:c r="F1" s="13" t="str">
        <x:v>Threshold Spread (km²)</x:v>
      </x:c>
      <x:c r="G1" s="13" t="str">
        <x:v>Shift: 0.00 to 0.05 (km²)</x:v>
      </x:c>
      <x:c r="H1" s="14" t="str">
        <x:v>Shift: 0.05 to 0.10 (km²)</x:v>
      </x:c>
    </x:row>
    <x:row r="2">
      <x:c r="A2" s="30" t="str">
        <x:v>EasternMost</x:v>
      </x:c>
      <x:c r="B2" s="31" t="n">
        <x:v>2019</x:v>
      </x:c>
      <x:c r="C2" s="81" t="n">
        <x:v>114.28376424129458</x:v>
      </x:c>
      <x:c r="D2" s="81" t="n">
        <x:v>114.93066200914934</x:v>
      </x:c>
      <x:c r="E2" s="81" t="n">
        <x:v>121.56467200507046</x:v>
      </x:c>
      <x:c r="F2" s="81" t="n">
        <x:f>E2-C2</x:f>
        <x:v>7.280907763775886</x:v>
      </x:c>
      <x:c r="G2" s="81" t="n">
        <x:f>D2-C2</x:f>
        <x:v>0.6468977678547674</x:v>
      </x:c>
      <x:c r="H2" s="81" t="n">
        <x:f>E2-D2</x:f>
        <x:v>6.634009995921119</x:v>
      </x:c>
    </x:row>
    <x:row r="3">
      <x:c r="A3" s="30" t="str">
        <x:v>EasternMost</x:v>
      </x:c>
      <x:c r="B3" s="31" t="n">
        <x:v>2020</x:v>
      </x:c>
      <x:c r="C3" s="81" t="n">
        <x:v>115.28573375791757</x:v>
      </x:c>
      <x:c r="D3" s="81" t="n">
        <x:v>115.85681674274605</x:v>
      </x:c>
      <x:c r="E3" s="81" t="n">
        <x:v>116.68788927648421</x:v>
      </x:c>
      <x:c r="F3" s="81" t="n">
        <x:f>E3-C3</x:f>
        <x:v>1.4021555185666443</x:v>
      </x:c>
      <x:c r="G3" s="81" t="n">
        <x:f>D3-C3</x:f>
        <x:v>0.5710829848284789</x:v>
      </x:c>
      <x:c r="H3" s="81" t="n">
        <x:f>E3-D3</x:f>
        <x:v>0.8310725337381655</x:v>
      </x:c>
    </x:row>
    <x:row r="4">
      <x:c r="A4" s="30" t="str">
        <x:v>EasternMost</x:v>
      </x:c>
      <x:c r="B4" s="31" t="n">
        <x:v>2021</x:v>
      </x:c>
      <x:c r="C4" s="81" t="n">
        <x:v>114.39772841290855</x:v>
      </x:c>
      <x:c r="D4" s="81" t="n">
        <x:v>114.87680738205651</x:v>
      </x:c>
      <x:c r="E4" s="81" t="n">
        <x:v>115.46953625590092</x:v>
      </x:c>
      <x:c r="F4" s="81" t="n">
        <x:f>E4-C4</x:f>
        <x:v>1.0718078429923708</x:v>
      </x:c>
      <x:c r="G4" s="81" t="n">
        <x:f>D4-C4</x:f>
        <x:v>0.4790789691479631</x:v>
      </x:c>
      <x:c r="H4" s="81" t="n">
        <x:f>E4-D4</x:f>
        <x:v>0.5927288738444076</x:v>
      </x:c>
    </x:row>
    <x:row r="5">
      <x:c r="A5" s="30" t="str">
        <x:v>EasternMost</x:v>
      </x:c>
      <x:c r="B5" s="31" t="n">
        <x:v>2022</x:v>
      </x:c>
      <x:c r="C5" s="81" t="n">
        <x:v>114.52344212124697</x:v>
      </x:c>
      <x:c r="D5" s="81" t="n">
        <x:v>115.09229894404238</x:v>
      </x:c>
      <x:c r="E5" s="81" t="n">
        <x:v>115.79146274058641</x:v>
      </x:c>
      <x:c r="F5" s="81" t="n">
        <x:f>E5-C5</x:f>
        <x:v>1.2680206193394383</x:v>
      </x:c>
      <x:c r="G5" s="81" t="n">
        <x:f>D5-C5</x:f>
        <x:v>0.5688568227954107</x:v>
      </x:c>
      <x:c r="H5" s="81" t="n">
        <x:f>E5-D5</x:f>
        <x:v>0.6991637965440276</x:v>
      </x:c>
    </x:row>
    <x:row r="6">
      <x:c r="A6" s="30" t="str">
        <x:v>EasternMost</x:v>
      </x:c>
      <x:c r="B6" s="31" t="n">
        <x:v>2023</x:v>
      </x:c>
      <x:c r="C6" s="81" t="n">
        <x:v>114.04250344197544</x:v>
      </x:c>
      <x:c r="D6" s="81" t="n">
        <x:v>114.6561633382164</x:v>
      </x:c>
      <x:c r="E6" s="81" t="n">
        <x:v>115.43350710317863</x:v>
      </x:c>
      <x:c r="F6" s="81" t="n">
        <x:f>E6-C6</x:f>
        <x:v>1.391003661203186</x:v>
      </x:c>
      <x:c r="G6" s="81" t="n">
        <x:f>D6-C6</x:f>
        <x:v>0.6136598962409607</x:v>
      </x:c>
      <x:c r="H6" s="81" t="n">
        <x:f>E6-D6</x:f>
        <x:v>0.7773437649622252</x:v>
      </x:c>
    </x:row>
    <x:row r="7">
      <x:c r="A7" s="30" t="str">
        <x:v>EasternMost</x:v>
      </x:c>
      <x:c r="B7" s="31" t="n">
        <x:v>2024</x:v>
      </x:c>
      <x:c r="C7" s="81" t="n">
        <x:v>115.51135592078285</x:v>
      </x:c>
      <x:c r="D7" s="81" t="n">
        <x:v>116.12638818804757</x:v>
      </x:c>
      <x:c r="E7" s="81" t="n">
        <x:v>116.77752555466918</x:v>
      </x:c>
      <x:c r="F7" s="81" t="n">
        <x:f>E7-C7</x:f>
        <x:v>1.266169633886335</x:v>
      </x:c>
      <x:c r="G7" s="81" t="n">
        <x:f>D7-C7</x:f>
        <x:v>0.6150322672647235</x:v>
      </x:c>
      <x:c r="H7" s="81" t="n">
        <x:f>E7-D7</x:f>
        <x:v>0.6511373666216116</x:v>
      </x:c>
    </x:row>
    <x:row r="8">
      <x:c r="A8" s="33" t="str">
        <x:v>EasternMost</x:v>
      </x:c>
      <x:c r="B8" s="34" t="n">
        <x:v>2025</x:v>
      </x:c>
      <x:c r="C8" s="81" t="n">
        <x:v>114.90550978181648</x:v>
      </x:c>
      <x:c r="D8" s="81" t="n">
        <x:v>115.5398738542903</x:v>
      </x:c>
      <x:c r="E8" s="81" t="n">
        <x:v>117.5985121553116</x:v>
      </x:c>
      <x:c r="F8" s="81" t="n">
        <x:f>E8-C8</x:f>
        <x:v>2.693002373495119</x:v>
      </x:c>
      <x:c r="G8" s="81" t="n">
        <x:f>D8-C8</x:f>
        <x:v>0.6343640724738293</x:v>
      </x:c>
      <x:c r="H8" s="81" t="n">
        <x:f>E8-D8</x:f>
        <x:v>2.05863830102129</x:v>
      </x:c>
    </x:row>
  </x:sheetData>
  <x:pageMargins left="0.7" right="0.7" top="0.75" bottom="0.75" header="0.3" footer="0.3"/>
  <x:tableParts count="1">
    <x:tablePart xmlns:r="http://schemas.openxmlformats.org/officeDocument/2006/relationships" r:id="R20f3f3b4a3c043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1" hidden="0" customWidth="1"/>
    <x:col min="5" max="5" width="21" hidden="0" customWidth="1"/>
    <x:col min="6" max="6" width="20" hidden="0" customWidth="1"/>
    <x:col min="7" max="7" width="17" hidden="0" customWidth="1"/>
    <x:col min="8" max="8" width="24" hidden="0" customWidth="1"/>
    <x:col min="9" max="9" width="27" hidden="0" customWidth="1"/>
    <x:col min="10" max="10" width="28" hidden="0" customWidth="1"/>
    <x:col min="11" max="11" width="27" hidden="0" customWidth="1"/>
    <x:col min="12" max="12" width="26" hidden="0" customWidth="1"/>
  </x:cols>
  <x:sheetData>
    <x:row r="1" ht="54" customHeight="1">
      <x:c r="A1" s="12" t="str">
        <x:v>Coastal Zone</x:v>
      </x:c>
      <x:c r="B1" s="13" t="str">
        <x:v>Period</x:v>
      </x:c>
      <x:c r="C1" s="13" t="str">
        <x:v>Primary Net Change at 0.05 (km²)</x:v>
      </x:c>
      <x:c r="D1" s="13" t="str">
        <x:v>Net Change at 0.00 (km²)</x:v>
      </x:c>
      <x:c r="E1" s="13" t="str">
        <x:v>Net Change at 0.10 (km²)</x:v>
      </x:c>
      <x:c r="F1" s="13" t="str">
        <x:v>Sensitivity Range (km²)</x:v>
      </x:c>
      <x:c r="G1" s="13" t="str">
        <x:v>Direction Stable?</x:v>
      </x:c>
      <x:c r="H1" s="13" t="str">
        <x:v>Threshold-Sensitive Area (km²)</x:v>
      </x:c>
      <x:c r="I1" s="13" t="str">
        <x:v>Approx. Threshold-Sensitive 10 m Pixels</x:v>
      </x:c>
      <x:c r="J1" s="13" t="str">
        <x:v>Sensitive Primary Transition Area (km²)</x:v>
      </x:c>
      <x:c r="K1" s="13" t="str">
        <x:v>Approx. Sensitive Transition 10 m Pixels</x:v>
      </x:c>
      <x:c r="L1" s="14" t="str">
        <x:v>Sensitive Share of Primary Transition (%)</x:v>
      </x:c>
    </x:row>
    <x:row r="2">
      <x:c r="A2" s="30" t="str">
        <x:v>EasternMost</x:v>
      </x:c>
      <x:c r="B2" s="31" t="str">
        <x:v>2019–2020</x:v>
      </x:c>
      <x:c r="C2" s="81" t="n">
        <x:v>0.9261547336112319</x:v>
      </x:c>
      <x:c r="D2" s="81" t="n">
        <x:v>1.0019695166520681</x:v>
      </x:c>
      <x:c r="E2" s="81" t="n">
        <x:v>-4.87678272858383</x:v>
      </x:c>
      <x:c r="F2" s="81" t="n">
        <x:f>MAX(C2:E2)-MIN(C2:E2)</x:f>
        <x:v>5.878752245235898</x:v>
      </x:c>
      <x:c r="G2" s="42" t="str">
        <x:v>No</x:v>
      </x:c>
      <x:c r="H2" s="81" t="n">
        <x:v>8.317294076631757</x:v>
      </x:c>
      <x:c r="I2" s="83" t="n">
        <x:f>ROUND(H2*10000,0)</x:f>
        <x:v>83173</x:v>
      </x:c>
      <x:c r="J2" s="81" t="n">
        <x:v>1.0545195973938783</x:v>
      </x:c>
      <x:c r="K2" s="83" t="n">
        <x:f>ROUND(J2*10000,0)</x:f>
        <x:v>10545</x:v>
      </x:c>
      <x:c r="L2" s="50" t="n">
        <x:v>44.644648663304814</x:v>
      </x:c>
    </x:row>
    <x:row r="3">
      <x:c r="A3" s="30" t="str">
        <x:v>EasternMost</x:v>
      </x:c>
      <x:c r="B3" s="31" t="str">
        <x:v>2020–2021</x:v>
      </x:c>
      <x:c r="C3" s="81" t="n">
        <x:v>-0.980009360704086</x:v>
      </x:c>
      <x:c r="D3" s="81" t="n">
        <x:v>-0.8880053450090081</x:v>
      </x:c>
      <x:c r="E3" s="81" t="n">
        <x:v>-1.2183530205833057</x:v>
      </x:c>
      <x:c r="F3" s="81" t="n">
        <x:f>MAX(C3:E3)-MIN(C3:E3)</x:f>
        <x:v>0.3303476755742977</x:v>
      </x:c>
      <x:c r="G3" s="42" t="str">
        <x:v>Yes</x:v>
      </x:c>
      <x:c r="H3" s="81" t="n">
        <x:v>2.1888580612776067</x:v>
      </x:c>
      <x:c r="I3" s="83" t="n">
        <x:f>ROUND(H3*10000,0)</x:f>
        <x:v>21889</x:v>
      </x:c>
      <x:c r="J3" s="81" t="n">
        <x:v>0.8862047839816773</x:v>
      </x:c>
      <x:c r="K3" s="83" t="n">
        <x:f>ROUND(J3*10000,0)</x:f>
        <x:v>8862</x:v>
      </x:c>
      <x:c r="L3" s="50" t="n">
        <x:v>44.81283199468251</x:v>
      </x:c>
    </x:row>
    <x:row r="4">
      <x:c r="A4" s="30" t="str">
        <x:v>EasternMost</x:v>
      </x:c>
      <x:c r="B4" s="31" t="str">
        <x:v>2021–2022</x:v>
      </x:c>
      <x:c r="C4" s="81" t="n">
        <x:v>0.21549156198586794</x:v>
      </x:c>
      <x:c r="D4" s="81" t="n">
        <x:v>0.12571370831659912</x:v>
      </x:c>
      <x:c r="E4" s="81" t="n">
        <x:v>0.3219264846854939</x:v>
      </x:c>
      <x:c r="F4" s="81" t="n">
        <x:f>MAX(C4:E4)-MIN(C4:E4)</x:f>
        <x:v>0.19621277636889478</x:v>
      </x:c>
      <x:c r="G4" s="42" t="str">
        <x:v>Yes</x:v>
      </x:c>
      <x:c r="H4" s="81" t="n">
        <x:v>1.9558066812541346</x:v>
      </x:c>
      <x:c r="I4" s="83" t="n">
        <x:f>ROUND(H4*10000,0)</x:f>
        <x:v>19558</x:v>
      </x:c>
      <x:c r="J4" s="81" t="n">
        <x:v>0.7461063805499626</x:v>
      </x:c>
      <x:c r="K4" s="83" t="n">
        <x:f>ROUND(J4*10000,0)</x:f>
        <x:v>7461</x:v>
      </x:c>
      <x:c r="L4" s="50" t="n">
        <x:v>57.156658114327804</x:v>
      </x:c>
    </x:row>
    <x:row r="5">
      <x:c r="A5" s="30" t="str">
        <x:v>EasternMost</x:v>
      </x:c>
      <x:c r="B5" s="31" t="str">
        <x:v>2022–2023</x:v>
      </x:c>
      <x:c r="C5" s="81" t="n">
        <x:v>-0.43613560579688054</x:v>
      </x:c>
      <x:c r="D5" s="81" t="n">
        <x:v>-0.48093867925698774</x:v>
      </x:c>
      <x:c r="E5" s="81" t="n">
        <x:v>-0.35795563737868663</x:v>
      </x:c>
      <x:c r="F5" s="81" t="n">
        <x:f>MAX(C5:E5)-MIN(C5:E5)</x:f>
        <x:v>0.12298304187830111</x:v>
      </x:c>
      <x:c r="G5" s="42" t="str">
        <x:v>Yes</x:v>
      </x:c>
      <x:c r="H5" s="81" t="n">
        <x:v>2.144957138003391</x:v>
      </x:c>
      <x:c r="I5" s="83" t="n">
        <x:f>ROUND(H5*10000,0)</x:f>
        <x:v>21450</x:v>
      </x:c>
      <x:c r="J5" s="81" t="n">
        <x:v>0.7704424065090636</x:v>
      </x:c>
      <x:c r="K5" s="83" t="n">
        <x:f>ROUND(J5*10000,0)</x:f>
        <x:v>7704</x:v>
      </x:c>
      <x:c r="L5" s="50" t="n">
        <x:v>64.76254163793674</x:v>
      </x:c>
    </x:row>
    <x:row r="6">
      <x:c r="A6" s="30" t="str">
        <x:v>EasternMost</x:v>
      </x:c>
      <x:c r="B6" s="31" t="str">
        <x:v>2023–2024</x:v>
      </x:c>
      <x:c r="C6" s="81" t="n">
        <x:v>1.4702248498239021</x:v>
      </x:c>
      <x:c r="D6" s="81" t="n">
        <x:v>1.468852478814655</x:v>
      </x:c>
      <x:c r="E6" s="81" t="n">
        <x:v>1.3440184514760154</x:v>
      </x:c>
      <x:c r="F6" s="81" t="n">
        <x:f>MAX(C6:E6)-MIN(C6:E6)</x:f>
        <x:v>0.12620639834788672</x:v>
      </x:c>
      <x:c r="G6" s="42" t="str">
        <x:v>Yes</x:v>
      </x:c>
      <x:c r="H6" s="81" t="n">
        <x:v>2.3826533589538075</x:v>
      </x:c>
      <x:c r="I6" s="83" t="n">
        <x:f>ROUND(H6*10000,0)</x:f>
        <x:v>23827</x:v>
      </x:c>
      <x:c r="J6" s="81" t="n">
        <x:v>1.014048726521929</x:v>
      </x:c>
      <x:c r="K6" s="83" t="n">
        <x:f>ROUND(J6*10000,0)</x:f>
        <x:v>10140</x:v>
      </x:c>
      <x:c r="L6" s="50" t="n">
        <x:v>50.58258357675265</x:v>
      </x:c>
    </x:row>
    <x:row r="7">
      <x:c r="A7" s="30" t="str">
        <x:v>EasternMost</x:v>
      </x:c>
      <x:c r="B7" s="31" t="str">
        <x:v>2024–2025</x:v>
      </x:c>
      <x:c r="C7" s="81" t="n">
        <x:v>-0.5865143337354348</x:v>
      </x:c>
      <x:c r="D7" s="81" t="n">
        <x:v>-0.6058461389372265</x:v>
      </x:c>
      <x:c r="E7" s="81" t="n">
        <x:v>0.8209866006496847</x:v>
      </x:c>
      <x:c r="F7" s="81" t="n">
        <x:f>MAX(C7:E7)-MIN(C7:E7)</x:f>
        <x:v>1.4268327395869111</x:v>
      </x:c>
      <x:c r="G7" s="42" t="str">
        <x:v>No</x:v>
      </x:c>
      <x:c r="H7" s="81" t="n">
        <x:v>3.5080590163304484</x:v>
      </x:c>
      <x:c r="I7" s="83" t="n">
        <x:f>ROUND(H7*10000,0)</x:f>
        <x:v>35081</x:v>
      </x:c>
      <x:c r="J7" s="81" t="n">
        <x:v>0.8766639669475432</x:v>
      </x:c>
      <x:c r="K7" s="83" t="n">
        <x:f>ROUND(J7*10000,0)</x:f>
        <x:v>8767</x:v>
      </x:c>
      <x:c r="L7" s="50" t="n">
        <x:v>62.4127975144146</x:v>
      </x:c>
    </x:row>
    <x:row r="8">
      <x:c r="A8" s="63" t="str">
        <x:v>EasternMost</x:v>
      </x:c>
      <x:c r="B8" s="64" t="str">
        <x:v>2019–2025</x:v>
      </x:c>
      <x:c r="C8" s="82" t="n">
        <x:v>0.6092118451846009</x:v>
      </x:c>
      <x:c r="D8" s="82" t="n">
        <x:v>0.6217455405800992</x:v>
      </x:c>
      <x:c r="E8" s="82" t="n">
        <x:v>-3.9661598497346287</x:v>
      </x:c>
      <x:c r="F8" s="82" t="n">
        <x:f>MAX(C8:E8)-MIN(C8:E8)</x:f>
        <x:v>4.587905390314728</x:v>
      </x:c>
      <x:c r="G8" s="65" t="str">
        <x:v>No</x:v>
      </x:c>
      <x:c r="H8" s="82" t="n">
        <x:v>9.183971618566298</x:v>
      </x:c>
      <x:c r="I8" s="84" t="n">
        <x:f>ROUND(H8*10000,0)</x:f>
        <x:v>91840</x:v>
      </x:c>
      <x:c r="J8" s="82" t="n">
        <x:v>1.0128623693893544</x:v>
      </x:c>
      <x:c r="K8" s="84" t="n">
        <x:f>ROUND(J8*10000,0)</x:f>
        <x:v>10129</x:v>
      </x:c>
      <x:c r="L8" s="67" t="n">
        <x:v>40.81665383349955</x:v>
      </x:c>
    </x:row>
  </x:sheetData>
  <x:conditionalFormatting sqref="G2:G8">
    <x:cfRule type="expression" dxfId="0" priority="1">
      <x:formula>G2="No"</x:formula>
    </x:cfRule>
    <x:cfRule type="expression" dxfId="1" priority="2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c37e88eb5d476e"/>
  </x:tableParts>
</x:worksheet>
</file>